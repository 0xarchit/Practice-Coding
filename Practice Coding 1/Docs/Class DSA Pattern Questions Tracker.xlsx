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.Tech\Semester 05\Practice Coding\Practice Coding 1\Docs\"/>
    </mc:Choice>
  </mc:AlternateContent>
  <xr:revisionPtr revIDLastSave="0" documentId="13_ncr:1_{2518CF5E-0BE2-4A5D-91E1-BB81B1B1C554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Dashboard" sheetId="1" r:id="rId1"/>
    <sheet name="Class Plan" sheetId="2" r:id="rId2"/>
    <sheet name="Pattern Guide" sheetId="3" r:id="rId3"/>
    <sheet name="Tracker" sheetId="4" r:id="rId4"/>
  </sheets>
  <definedNames>
    <definedName name="_xlnm._FilterDatabase" localSheetId="3" hidden="1">Tracker!$A$1:$K$481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2" l="1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F17" i="2" s="1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F9" i="2" s="1"/>
  <c r="E8" i="2"/>
  <c r="D8" i="2"/>
  <c r="E7" i="2"/>
  <c r="D7" i="2"/>
  <c r="E6" i="2"/>
  <c r="D6" i="2"/>
  <c r="F6" i="2" s="1"/>
  <c r="H6" i="2" s="1"/>
  <c r="E5" i="2"/>
  <c r="D5" i="2"/>
  <c r="E4" i="2"/>
  <c r="F4" i="2" s="1"/>
  <c r="G4" i="2" s="1"/>
  <c r="F3" i="2"/>
  <c r="H3" i="2" s="1"/>
  <c r="C20" i="1"/>
  <c r="C19" i="1"/>
  <c r="C18" i="1"/>
  <c r="C17" i="1"/>
  <c r="C16" i="1"/>
  <c r="C15" i="1"/>
  <c r="F25" i="2" l="1"/>
  <c r="H25" i="2" s="1"/>
  <c r="F28" i="2"/>
  <c r="G28" i="2" s="1"/>
  <c r="F15" i="2"/>
  <c r="G15" i="2" s="1"/>
  <c r="F8" i="2"/>
  <c r="G8" i="2" s="1"/>
  <c r="F20" i="2"/>
  <c r="G20" i="2" s="1"/>
  <c r="F33" i="2"/>
  <c r="H33" i="2" s="1"/>
  <c r="F24" i="2"/>
  <c r="G24" i="2" s="1"/>
  <c r="F14" i="2"/>
  <c r="G14" i="2" s="1"/>
  <c r="F5" i="2"/>
  <c r="H5" i="2" s="1"/>
  <c r="F13" i="2"/>
  <c r="G13" i="2" s="1"/>
  <c r="F22" i="2"/>
  <c r="G22" i="2" s="1"/>
  <c r="F30" i="2"/>
  <c r="H30" i="2" s="1"/>
  <c r="F32" i="2"/>
  <c r="H32" i="2" s="1"/>
  <c r="F26" i="2"/>
  <c r="H26" i="2" s="1"/>
  <c r="F16" i="2"/>
  <c r="H16" i="2" s="1"/>
  <c r="F27" i="2"/>
  <c r="H27" i="2" s="1"/>
  <c r="F10" i="2"/>
  <c r="H10" i="2" s="1"/>
  <c r="F18" i="2"/>
  <c r="G18" i="2" s="1"/>
  <c r="F21" i="2"/>
  <c r="G21" i="2" s="1"/>
  <c r="F29" i="2"/>
  <c r="H29" i="2" s="1"/>
  <c r="F11" i="2"/>
  <c r="H11" i="2" s="1"/>
  <c r="F7" i="2"/>
  <c r="G7" i="2" s="1"/>
  <c r="F23" i="2"/>
  <c r="G23" i="2" s="1"/>
  <c r="F31" i="2"/>
  <c r="G31" i="2" s="1"/>
  <c r="F12" i="2"/>
  <c r="H12" i="2" s="1"/>
  <c r="F19" i="2"/>
  <c r="G19" i="2" s="1"/>
  <c r="F34" i="2"/>
  <c r="H34" i="2" s="1"/>
  <c r="H17" i="2"/>
  <c r="G17" i="2"/>
  <c r="H8" i="2"/>
  <c r="H20" i="2"/>
  <c r="G9" i="2"/>
  <c r="H9" i="2"/>
  <c r="H28" i="2"/>
  <c r="G6" i="2"/>
  <c r="G3" i="2"/>
  <c r="G25" i="2" l="1"/>
  <c r="H24" i="2"/>
  <c r="H22" i="2"/>
  <c r="G33" i="2"/>
  <c r="H15" i="2"/>
  <c r="G30" i="2"/>
  <c r="H14" i="2"/>
  <c r="G5" i="2"/>
  <c r="G27" i="2"/>
  <c r="H18" i="2"/>
  <c r="H13" i="2"/>
  <c r="G16" i="2"/>
  <c r="G32" i="2"/>
  <c r="G26" i="2"/>
  <c r="H19" i="2"/>
  <c r="G12" i="2"/>
  <c r="G10" i="2"/>
  <c r="H7" i="2"/>
  <c r="H31" i="2"/>
  <c r="G11" i="2"/>
  <c r="H21" i="2"/>
  <c r="H23" i="2"/>
  <c r="G29" i="2"/>
  <c r="G34" i="2"/>
</calcChain>
</file>

<file path=xl/sharedStrings.xml><?xml version="1.0" encoding="utf-8"?>
<sst xmlns="http://schemas.openxmlformats.org/spreadsheetml/2006/main" count="4124" uniqueCount="978">
  <si>
    <t>PATTERN GUIDE - What It Is, How to Spot It, Why Problems Belong</t>
  </si>
  <si>
    <t>CLASS PLAN - 32 Classes × 5 Hours | 5 In-Class + 10 Homework Each</t>
  </si>
  <si>
    <t>GLA UNIVERSITY, MATHURA</t>
  </si>
  <si>
    <t>32-Class DSA Pattern Mastery Program - HackerRank + Codeforces (Non-LeetCode)</t>
  </si>
  <si>
    <t>Class #</t>
  </si>
  <si>
    <t>PROGRAM AT A GLANCE</t>
  </si>
  <si>
    <t>Pattern / Topic</t>
  </si>
  <si>
    <t>What It Is</t>
  </si>
  <si>
    <t>How to Spot It in a Problem</t>
  </si>
  <si>
    <t>Total Classes</t>
  </si>
  <si>
    <t>Difficulty Band</t>
  </si>
  <si>
    <t>Why the Assigned Problems Belong Here</t>
  </si>
  <si>
    <t>In-Class Done (of 5)</t>
  </si>
  <si>
    <t>32 (5 hours each = 160 contact hours)</t>
  </si>
  <si>
    <t>Homework Done (of 10)</t>
  </si>
  <si>
    <t>Total Done (of 15)</t>
  </si>
  <si>
    <t>Arrays &amp; Implementation Basics</t>
  </si>
  <si>
    <t>Completion %</t>
  </si>
  <si>
    <t>Status</t>
  </si>
  <si>
    <t>Storing and manipulating fixed-order data: traversal, rotation, insertion, in-place updates.</t>
  </si>
  <si>
    <t>Suggested Hour Split (5 hrs)</t>
  </si>
  <si>
    <t>Input is a list/grid; task asks to read, rotate, update, or simulate steps exactly as described.</t>
  </si>
  <si>
    <t>Pure array traversal / simulation - the solution is careful index handling, no advanced algorithm needed.</t>
  </si>
  <si>
    <t>Session Type</t>
  </si>
  <si>
    <t>Per Class</t>
  </si>
  <si>
    <t>Q #</t>
  </si>
  <si>
    <t>5 questions discussed in class + 10 homework questions</t>
  </si>
  <si>
    <t>Prefix Sums &amp; Difference Arrays</t>
  </si>
  <si>
    <t>HR Easy / CF 800-900</t>
  </si>
  <si>
    <t>Problem</t>
  </si>
  <si>
    <t>Total Questions</t>
  </si>
  <si>
    <t>Platform</t>
  </si>
  <si>
    <t>Precompute running totals so any range-sum query answers in O(1); difference arrays apply range updates in O(1).</t>
  </si>
  <si>
    <t>480 (160 in-class + 320 homework)</t>
  </si>
  <si>
    <t>Repeated queries like 'sum of L..R', 'add x to a range', or balance-point questions on static arrays.</t>
  </si>
  <si>
    <t>Difficulty</t>
  </si>
  <si>
    <t>Range-sum / range-update structure - prefix or difference array turns O(n) per query into O(1).</t>
  </si>
  <si>
    <t>Problem Link</t>
  </si>
  <si>
    <t>Why This Pattern</t>
  </si>
  <si>
    <t>Two Pointers I - Converging &amp; Parallel Scans</t>
  </si>
  <si>
    <t>Two indices moving through data (toward each other or in the same direction) to avoid nested loops.</t>
  </si>
  <si>
    <t>Notes</t>
  </si>
  <si>
    <t>Platforms</t>
  </si>
  <si>
    <t>Sorted input, pair-finding, merging, or 'can we match elements from both ends?' style statements.</t>
  </si>
  <si>
    <t>HackerRank + Codeforces only (no LeetCode)</t>
  </si>
  <si>
    <t>Two coordinated indices replace an O(n^2) pair search with a single O(n) sweep.</t>
  </si>
  <si>
    <t>Sliding Window - Fixed Size</t>
  </si>
  <si>
    <t>Coverage</t>
  </si>
  <si>
    <t>Maintain a window of exactly k elements; slide by adding one element and removing one - O(n) totals.</t>
  </si>
  <si>
    <t>All DSA patterns, start to finish - Arrays to DP, Big-O as capstone</t>
  </si>
  <si>
    <t>'Every subarray of length k', 'k consecutive days/items', max/min/sum over fixed-width blocks.</t>
  </si>
  <si>
    <t>Fixed-width consecutive block - sliding the window updates the answer in O(1) per step.</t>
  </si>
  <si>
    <t>Sliding Window - Variable Size</t>
  </si>
  <si>
    <t>Grow the right end while a condition holds, shrink from the left when it breaks - window size adapts.</t>
  </si>
  <si>
    <t>Progressive: HR Easy / CF 800 in Class 1 → CF 1600 by Class 32</t>
  </si>
  <si>
    <t>'Longest/shortest subarray such that ...' with a monotone condition (sum, distinct count, at most k).</t>
  </si>
  <si>
    <t>In-Class</t>
  </si>
  <si>
    <t>Expand-shrink window logic - the constraint is monotone, so each pointer moves only forward.</t>
  </si>
  <si>
    <t>LIVE PROGRESS (auto-updates from Tracker)</t>
  </si>
  <si>
    <t>Questions Solved</t>
  </si>
  <si>
    <t>Hashing &amp; Frequency Maps</t>
  </si>
  <si>
    <t>158A - Next Round</t>
  </si>
  <si>
    <t>Hash maps/sets give O(1) average lookup - count frequencies, detect duplicates, match complements.</t>
  </si>
  <si>
    <t>How many times', 'does a pair/anagram exist', 'first non-repeating' - membership or count questions.</t>
  </si>
  <si>
    <t>Counting / membership question - a frequency map answers 'seen before? how often?' in O(1).</t>
  </si>
  <si>
    <t>Codeforces</t>
  </si>
  <si>
    <t>Strings I - Scanning &amp; Transformation</t>
  </si>
  <si>
    <t>Character-by-character processing: case rules, shifts, validation, building new strings.</t>
  </si>
  <si>
    <t>Task describes a rule applied to each character or a format the string must satisfy.</t>
  </si>
  <si>
    <t>1.0 hr concept + 2.5 hrs solving 5 class Qs + 1.0 hr pattern recap + 0.5 hr HW briefing</t>
  </si>
  <si>
    <t>of 480</t>
  </si>
  <si>
    <t>Linear character scan - apply the stated rule per character; ASCII arithmetic does the work.</t>
  </si>
  <si>
    <t>CF 800</t>
  </si>
  <si>
    <t>Open Problem</t>
  </si>
  <si>
    <t>Strings II - Anagrams &amp; Palindromes</t>
  </si>
  <si>
    <t>Questions Attempted</t>
  </si>
  <si>
    <t>Structural string properties: anagram = same letter multiset; palindrome = mirror symmetry.</t>
  </si>
  <si>
    <t>'Make these anagrams', 'minimum deletions/changes', 'reads the same backwards'.</t>
  </si>
  <si>
    <t>HR Easy-Hard / CF 1100-1400</t>
  </si>
  <si>
    <t>Anagram/palindrome structure - compare frequency multisets or mirrored index pairs.</t>
  </si>
  <si>
    <t>Sorting I - Ordering &amp; Comparators</t>
  </si>
  <si>
    <t>Questions Revised</t>
  </si>
  <si>
    <t>Reordering data unlocks greedy scans, pairing, and binary search; custom comparators define 'order'.</t>
  </si>
  <si>
    <t>Answer depends only on relative order, closest pairs, or arranging to maximize/minimize something.</t>
  </si>
  <si>
    <t>Sort-first problem - once ordered, the answer falls out of one linear pass.</t>
  </si>
  <si>
    <t>Sorting II - Counting Sort &amp; Order Statistics</t>
  </si>
  <si>
    <t>In-Class Solved</t>
  </si>
  <si>
    <t>Non-comparison sorting (counting sort), medians, inversion counting via merge sort.</t>
  </si>
  <si>
    <t>Small value range (counting sort), running median, or 'how far from sorted' questions.</t>
  </si>
  <si>
    <t>Order-statistic / stable-count structure - counting sort or merge logic beats plain sorting.</t>
  </si>
  <si>
    <t>Binary Search I - On Sorted Data</t>
  </si>
  <si>
    <t>Halve the search space each step on sorted/monotone data - O(log n) lookups and boundaries.</t>
  </si>
  <si>
    <t>Solved</t>
  </si>
  <si>
    <t>of 160</t>
  </si>
  <si>
    <t>Sorted input plus 'find position / first / last / closest' questions.</t>
  </si>
  <si>
    <t>Pure array traversal / simulation - the solution is careful index handling, no advanced algorithm needed. (CF tags: *special problem, implementation)</t>
  </si>
  <si>
    <t>Sorted-search structure - each comparison discards half the candidates.</t>
  </si>
  <si>
    <t>Homework Solved</t>
  </si>
  <si>
    <t>Binary Search on the Answer</t>
  </si>
  <si>
    <t>When 'can we achieve X?' is monotone in X, binary-search X itself and check feasibility.</t>
  </si>
  <si>
    <t>CF 800-1100</t>
  </si>
  <si>
    <t>Minimize the maximum / maximize the minimum; 'least time/capacity/distance so that ...'.</t>
  </si>
  <si>
    <t>of 320</t>
  </si>
  <si>
    <t>Monotone feasibility - check(X) flips once from false to true, so binary search finds the boundary.</t>
  </si>
  <si>
    <t>Example - pattern clicked after drawing it out</t>
  </si>
  <si>
    <t>Overall Completion %</t>
  </si>
  <si>
    <t>Greedy I - Local Choices</t>
  </si>
  <si>
    <t>Pick the locally best option at each step when it provably leads to the global optimum.</t>
  </si>
  <si>
    <t>'Maximum items within budget', 'minimum operations', choices that never need revisiting.</t>
  </si>
  <si>
    <t>Exchange-argument greedy - sorting by the right key makes the obvious choice optimal.</t>
  </si>
  <si>
    <t>Greedy II - Sorting-Based &amp; Interval Greedy</t>
  </si>
  <si>
    <t>Harder greedy: prove the ordering with an exchange argument; intervals, deadlines, pairing.</t>
  </si>
  <si>
    <t>HOW TO USE (Legend)</t>
  </si>
  <si>
    <t>Scheduling, non-overlapping selection, or 'serve cheapest/earliest first' with a twist.</t>
  </si>
  <si>
    <t>282A - Bit++</t>
  </si>
  <si>
    <t>1. Only edit the Status and Notes columns (J and K) in the Tracker sheet - yellow-tinted cells.</t>
  </si>
  <si>
    <t>Greedy with a proof burden - the sort key comes from an exchange argument, not intuition.</t>
  </si>
  <si>
    <t>2. Status dropdown: Not Started → Attempted → Solved → Revised. Everything else auto-calculates.</t>
  </si>
  <si>
    <t>3. Row 2 of the Tracker is pre-filled with 'Solved' as an example - update it as you actually progress.</t>
  </si>
  <si>
    <t>4. Class Plan sheet shows per-class completion; Pattern Guide explains every pattern's what/spot/why.</t>
  </si>
  <si>
    <t>5. Click any link in column H to open the problem directly on HackerRank / Codeforces.</t>
  </si>
  <si>
    <t>Math I - Arithmetic &amp; Counting</t>
  </si>
  <si>
    <t>Direct formulas, parity, divisibility, and counting arguments replace brute-force loops.</t>
  </si>
  <si>
    <t>Huge input bounds (10^9+) that forbid loops - the answer must be a formula.</t>
  </si>
  <si>
    <t>Closed-form / parity reasoning - constraints scream 'derive a formula, don't iterate'.</t>
  </si>
  <si>
    <t>Math II - Number Theory (GCD, Primes, Modulo)</t>
  </si>
  <si>
    <t>Pure array traversal / simulation - the solution is careful index handling, no advanced algorithm needed. (CF tags: implementation)</t>
  </si>
  <si>
    <t>HR Easy-Med / CF 1000-1200</t>
  </si>
  <si>
    <t>GCD/LCM, prime factorization, sieve of Eratosthenes, modular arithmetic.</t>
  </si>
  <si>
    <t>Not Started</t>
  </si>
  <si>
    <t>Divisors, coprimality, 'divisible by', factorization, or answers mod 1e9+7.</t>
  </si>
  <si>
    <t>Number-theoretic structure - gcd/factorization/sieve is the intended machinery.</t>
  </si>
  <si>
    <t>Bit Manipulation &amp; XOR</t>
  </si>
  <si>
    <t>Numbers as bit vectors: AND/OR/XOR/shifts; XOR cancellation; bits as independent dimensions.</t>
  </si>
  <si>
    <t>XOR in the statement, powers of two, toggling, or 'per-bit' independence.</t>
  </si>
  <si>
    <t>Bitwise structure - the operation acts independently on each bit, so reason bit-by-bit.</t>
  </si>
  <si>
    <t>263A - Beautiful Matrix</t>
  </si>
  <si>
    <t>Recursion &amp; Complete Search</t>
  </si>
  <si>
    <t>Define the answer in terms of smaller subproblems; enumerate all candidates when bounds are tiny.</t>
  </si>
  <si>
    <t>Small constraints (n ≤ 20ish), 'try all', or naturally self-similar definitions.</t>
  </si>
  <si>
    <t>Recursive decomposition / exhaustive search - bounds allow trying every possibility.</t>
  </si>
  <si>
    <t>Backtracking &amp; Constructive Algorithms</t>
  </si>
  <si>
    <t>Build a valid answer step by step, undoing dead ends (backtracking) or by an explicit construction.</t>
  </si>
  <si>
    <t>'Construct any valid ...', puzzles with constraints, or output-an-example tasks.</t>
  </si>
  <si>
    <t>Construct-and-verify pattern - build the object directly; backtrack when a partial choice fails.</t>
  </si>
  <si>
    <t>CF 1200-1400</t>
  </si>
  <si>
    <t>Linked Lists - Pointers in Motion</t>
  </si>
  <si>
    <t>Node-and-pointer structures: insertion, deletion, reversal, cycle detection (Floyd), merging.</t>
  </si>
  <si>
    <t>Statement gives node structures; operations touch next/prev pointers, not indices.</t>
  </si>
  <si>
    <t>Pointer-manipulation drill - the challenge is relinking nodes without losing the chain.</t>
  </si>
  <si>
    <t>Stacks - LIFO Thinking</t>
  </si>
  <si>
    <t>Last-in-first-out: matching brackets, undo operations, deferred processing.</t>
  </si>
  <si>
    <t>Nested structure, 'most recent unmatched item', undo/rollback semantics.</t>
  </si>
  <si>
    <t>LIFO structure - the most recently seen unresolved element is always the one that matters next.</t>
  </si>
  <si>
    <t>Monotonic Stack - Next Greater / Spans</t>
  </si>
  <si>
    <t>266A - Stones on the Table</t>
  </si>
  <si>
    <t>A stack kept sorted while pushing: answers 'next/previous greater or smaller element' in O(n).</t>
  </si>
  <si>
    <t>'Nearest larger to the right', histogram areas, days-until-warmer, visible buildings.</t>
  </si>
  <si>
    <t>Next-greater/smaller structure - a monotonic stack resolves each element exactly once.</t>
  </si>
  <si>
    <t>Queues &amp; Deques - FIFO and Both-End Access</t>
  </si>
  <si>
    <t>First-in-first-out processing, simulation queues, and deques for sliding-window extremes.</t>
  </si>
  <si>
    <t>Order-of-arrival processing, circular service, or window max/min needs.</t>
  </si>
  <si>
    <t>FIFO / both-ends structure - arrival order (or window front) drives who is processed next.</t>
  </si>
  <si>
    <t>Heaps &amp; Priority Queues</t>
  </si>
  <si>
    <t>Always extract the current min/max in O(log n) - the engine behind many greedy solutions.</t>
  </si>
  <si>
    <t>'Repeatedly take the smallest/largest', running median, merge k streams, scheduling.</t>
  </si>
  <si>
    <t>Repeated-extremum pattern - a heap serves the current best element as the data changes.</t>
  </si>
  <si>
    <t>HR Easy-Med / CF 1100-1400</t>
  </si>
  <si>
    <t>Trees I - Traversals &amp; Views</t>
  </si>
  <si>
    <t>Hierarchical data: pre/in/post-order DFS, level-order BFS, height, views.</t>
  </si>
  <si>
    <t>Explicit tree input, parent-child wording, or 'visit every node in ... order'.</t>
  </si>
  <si>
    <t>Tree-traversal drill - the recursion order (or BFS queue) is the whole solution.</t>
  </si>
  <si>
    <t>Trees II - BST &amp; Structural Properties</t>
  </si>
  <si>
    <t>BST invariant (left &lt; node &lt; right), validation, LCA, and subtree computations via DFS returns.</t>
  </si>
  <si>
    <t>791A - Bear and Big Brother</t>
  </si>
  <si>
    <t>Ordered insert/search, ancestor questions, or per-subtree aggregate values.</t>
  </si>
  <si>
    <t>BST invariant / subtree aggregation - DFS return values carry the answer up the tree.</t>
  </si>
  <si>
    <t>Graphs I - BFS &amp; Shortest Reach</t>
  </si>
  <si>
    <t>Level-by-level exploration: shortest paths in unweighted graphs and grids.</t>
  </si>
  <si>
    <t>'Minimum moves/steps', unweighted edges, grid mazes, snakes-and-ladders boards.</t>
  </si>
  <si>
    <t>Unweighted shortest-path - BFS visits nodes in increasing distance order by construction.</t>
  </si>
  <si>
    <t>Graphs II - DFS &amp; Connected Components</t>
  </si>
  <si>
    <t>Depth-first exploration: components, reachability, cycle detection, simple graph coloring.</t>
  </si>
  <si>
    <t>'How many groups/islands', 'is there a path', or properties of whole components.</t>
  </si>
  <si>
    <t>HR Easy / CF 800-1000</t>
  </si>
  <si>
    <t>Component/reachability structure - one DFS flood per component answers the question.</t>
  </si>
  <si>
    <t>Union-Find (DSU) &amp; Minimum Spanning Trees</t>
  </si>
  <si>
    <t>Merge sets and query membership in near-O(1); Kruskal builds MSTs by sorting edges + DSU.</t>
  </si>
  <si>
    <t>Dynamic 'are these connected?', merging groups over time, cheapest network to connect all.</t>
  </si>
  <si>
    <t>Dynamic connectivity - DSU merges groups as edges arrive; Kruskal is DSU + sorted edges.</t>
  </si>
  <si>
    <t>Homework</t>
  </si>
  <si>
    <t>Weighted Shortest Paths - Dijkstra &amp; Friends</t>
  </si>
  <si>
    <t>Weighted graphs: Dijkstra (non-negative), 0-1 BFS, Bellman-Ford ideas, path reconstruction.</t>
  </si>
  <si>
    <t>Edge weights/costs plus 'cheapest/fastest route' between nodes.</t>
  </si>
  <si>
    <t>Weighted shortest-path - greedy distance settling (Dijkstra) or its 0-1/BFS variants apply.</t>
  </si>
  <si>
    <t>546A - Soldier and Bananas</t>
  </si>
  <si>
    <t>Dynamic Programming I - 1D States</t>
  </si>
  <si>
    <t>Overlapping subproblems + optimal substructure: define state, transition, base case; fill a table.</t>
  </si>
  <si>
    <t>Count ways / min cost over sequences where today's choice depends on earlier results.</t>
  </si>
  <si>
    <t>HR Easy-Med / CF 1000-1300</t>
  </si>
  <si>
    <t>1D DP - dp[i] depends on a few earlier states; memoize instead of recomputing.</t>
  </si>
  <si>
    <t>Dynamic Programming II - Grids &amp; Knapsack + Big-O Capstone</t>
  </si>
  <si>
    <t>2D/knapsack DP: grid paths, subset sums, coin change; then complexity analysis across all 32 patterns as the course capstone.</t>
  </si>
  <si>
    <t>Two changing quantities (index + capacity), grid movement, or 'choose items under a budget'.</t>
  </si>
  <si>
    <t>Multi-dimensional DP - the state needs two coordinates; capstone: justify the Big-O of every pattern learned.</t>
  </si>
  <si>
    <t>Pure array traversal / simulation - the solution is careful index handling, no advanced algorithm needed. (CF tags: brute force, implementation, math)</t>
  </si>
  <si>
    <t>HR Easy / CF 800-1100</t>
  </si>
  <si>
    <t>977A - Wrong Subtraction</t>
  </si>
  <si>
    <t>HR Med-Hard / CF 1100-1300</t>
  </si>
  <si>
    <t>110A - Nearly Lucky Number</t>
  </si>
  <si>
    <t>HR Easy / CF 800-1200</t>
  </si>
  <si>
    <t>Arrays - DS</t>
  </si>
  <si>
    <t>HackerRank</t>
  </si>
  <si>
    <t>HR Easy</t>
  </si>
  <si>
    <t>HR Med / CF 1200-1500</t>
  </si>
  <si>
    <t>2D Array - DS (Hourglass Sum)</t>
  </si>
  <si>
    <t>Arrays: Left Rotation</t>
  </si>
  <si>
    <t>HR Easy-Med / CF 1100-1300</t>
  </si>
  <si>
    <t>Dynamic Array</t>
  </si>
  <si>
    <t>CF 800-1000</t>
  </si>
  <si>
    <t>Missing Numbers</t>
  </si>
  <si>
    <t>CF 1000-1300</t>
  </si>
  <si>
    <t>HR Easy-Med / CF 800-1300</t>
  </si>
  <si>
    <t>Minimum Distances</t>
  </si>
  <si>
    <t>HR Easy-Med / CF 800-1100</t>
  </si>
  <si>
    <t>Sparse Arrays</t>
  </si>
  <si>
    <t>HR Medium</t>
  </si>
  <si>
    <t>HR Med / CF 1000-1300</t>
  </si>
  <si>
    <t>Sherlock and Array</t>
  </si>
  <si>
    <t>HR Easy-Med</t>
  </si>
  <si>
    <t>HR Med-Hard / CF 1100-1400</t>
  </si>
  <si>
    <t>HR Med / CF 1100-1400</t>
  </si>
  <si>
    <t>HR Easy-Hard / CF 1200-1500</t>
  </si>
  <si>
    <t>Subarray Division (Birthday Chocolate)</t>
  </si>
  <si>
    <t>HR Easy-Med / CF 1300-1500</t>
  </si>
  <si>
    <t>1430C - Numbers on Whiteboard</t>
  </si>
  <si>
    <t>CF 1000</t>
  </si>
  <si>
    <t>HR Med / CF 1100-1500</t>
  </si>
  <si>
    <t>HR Med / CF 1200-1600</t>
  </si>
  <si>
    <t>HR Med-Hard / CF 1300-1600</t>
  </si>
  <si>
    <t>Range-sum / range-update structure - prefix or difference array turns O(n) per query into O(1). (CF tags: constructive algorithms, data structures, greedy, implementation, math)</t>
  </si>
  <si>
    <t>1798B - Three Sevens</t>
  </si>
  <si>
    <t>Range-sum / range-update structure - prefix or difference array turns O(n) per query into O(1). (CF tags: brute force, data structures, greedy, implementation)</t>
  </si>
  <si>
    <t>313B - Ilya and Queries</t>
  </si>
  <si>
    <t>CF 1100</t>
  </si>
  <si>
    <t>Range-sum / range-update structure - prefix or difference array turns O(n) per query into O(1). (CF tags: dp, implementation)</t>
  </si>
  <si>
    <t>363B - Fence</t>
  </si>
  <si>
    <t>Range-sum / range-update structure - prefix or difference array turns O(n) per query into O(1). (CF tags: brute force, dp)</t>
  </si>
  <si>
    <t>519B - A and B and Compilation Errors</t>
  </si>
  <si>
    <t>Range-sum / range-update structure - prefix or difference array turns O(n) per query into O(1). (CF tags: data structures, implementation, sortings)</t>
  </si>
  <si>
    <t>1324C - Frog Jumps</t>
  </si>
  <si>
    <t>Range-sum / range-update structure - prefix or difference array turns O(n) per query into O(1). (CF tags: binary search, data structures, dfs and similar, greedy, implementation)</t>
  </si>
  <si>
    <t>433B - Kuriyama Mirai's Stones</t>
  </si>
  <si>
    <t>CF 1200</t>
  </si>
  <si>
    <t>Range-sum / range-update structure - prefix or difference array turns O(n) per query into O(1). (CF tags: dp, implementation, sortings)</t>
  </si>
  <si>
    <t>961B - Lecture Sleep</t>
  </si>
  <si>
    <t>Range-sum / range-update structure - prefix or difference array turns O(n) per query into O(1). (CF tags: data structures, dp, implementation, two pointers)</t>
  </si>
  <si>
    <t>1341B - Nastya and Door</t>
  </si>
  <si>
    <t>CF 1300</t>
  </si>
  <si>
    <t>Range-sum / range-update structure - prefix or difference array turns O(n) per query into O(1). (CF tags: greedy, implementation)</t>
  </si>
  <si>
    <t>816B - Karen and Coffee</t>
  </si>
  <si>
    <t>CF 1400</t>
  </si>
  <si>
    <t>Range-sum / range-update structure - prefix or difference array turns O(n) per query into O(1). (CF tags: binary search, data structures, implementation)</t>
  </si>
  <si>
    <t>Array Manipulation</t>
  </si>
  <si>
    <t>HR Hard</t>
  </si>
  <si>
    <t>276C - Little Girl and Maximum Sum</t>
  </si>
  <si>
    <t>CF 1500</t>
  </si>
  <si>
    <t>Range-sum / range-update structure - prefix or difference array turns O(n) per query into O(1). (CF tags: data structures, greedy, implementation, sortings)</t>
  </si>
  <si>
    <t>1398C - Good Subarrays</t>
  </si>
  <si>
    <t>CF 1600</t>
  </si>
  <si>
    <t>Range-sum / range-update structure - prefix or difference array turns O(n) per query into O(1). (CF tags: data structures, dp, math)</t>
  </si>
  <si>
    <t>381A - Sereja and Dima</t>
  </si>
  <si>
    <t>Two coordinated indices replace an O(n^2) pair search with a single O(n) sweep. (CF tags: greedy, implementation, two pointers)</t>
  </si>
  <si>
    <t>1462A - Favorite Sequence</t>
  </si>
  <si>
    <t>Two coordinated indices replace an O(n^2) pair search with a single O(n) sweep. (CF tags: implementation, two pointers)</t>
  </si>
  <si>
    <t>1791C - Prepend and Append</t>
  </si>
  <si>
    <t>1843A - Sasha and Array Coloring</t>
  </si>
  <si>
    <t>Two coordinated indices replace an O(n^2) pair search with a single O(n) sweep. (CF tags: greedy, sortings, two pointers)</t>
  </si>
  <si>
    <t>1840A - Cipher Shifer</t>
  </si>
  <si>
    <t>Two coordinated indices replace an O(n^2) pair search with a single O(n) sweep. (CF tags: implementation, strings, two pointers)</t>
  </si>
  <si>
    <t>1843B - Long Long</t>
  </si>
  <si>
    <t>Two coordinated indices replace an O(n^2) pair search with a single O(n) sweep. (CF tags: greedy, math, two pointers)</t>
  </si>
  <si>
    <t>1851B - Parity Sort</t>
  </si>
  <si>
    <t>1646B - Quality vs Quantity</t>
  </si>
  <si>
    <t>Two coordinated indices replace an O(n^2) pair search with a single O(n) sweep. (CF tags: brute force, constructive algorithms, greedy, sortings, two pointers)</t>
  </si>
  <si>
    <t>1746B - Rebellion</t>
  </si>
  <si>
    <t>Two coordinated indices replace an O(n^2) pair search with a single O(n) sweep. (CF tags: constructive algorithms, greedy, two pointers)</t>
  </si>
  <si>
    <t>1689A - Lex String</t>
  </si>
  <si>
    <t>Two coordinated indices replace an O(n^2) pair search with a single O(n) sweep. (CF tags: brute force, greedy, implementation, sortings, two pointers)</t>
  </si>
  <si>
    <t>1789B - Serval and Inversion Magic</t>
  </si>
  <si>
    <t>Two coordinated indices replace an O(n^2) pair search with a single O(n) sweep. (CF tags: brute force, implementation, strings, two pointers)</t>
  </si>
  <si>
    <t>Ice Cream Parlor</t>
  </si>
  <si>
    <t>1359B - New Theatre Square</t>
  </si>
  <si>
    <t>Two coordinated indices replace an O(n^2) pair search with a single O(n) sweep. (CF tags: brute force, dp, greedy, implementation, two pointers)</t>
  </si>
  <si>
    <t>1690D - Black and White Stripe</t>
  </si>
  <si>
    <t>Pairs</t>
  </si>
  <si>
    <t>Picking Numbers</t>
  </si>
  <si>
    <t>978C - Letters</t>
  </si>
  <si>
    <t>Fixed-width consecutive block - sliding the window updates the answer in O(1) per step. (CF tags: binary search, implementation, two pointers)</t>
  </si>
  <si>
    <t>1744C - Traffic Light</t>
  </si>
  <si>
    <t>1840C - Ski Resort</t>
  </si>
  <si>
    <t>Fixed-width consecutive block - sliding the window updates the answer in O(1) per step. (CF tags: combinatorics, math, two pointers)</t>
  </si>
  <si>
    <t>1760D - Challenging Valleys</t>
  </si>
  <si>
    <t>Fixed-width consecutive block - sliding the window updates the answer in O(1) per step. (CF tags: implementation, two pointers)</t>
  </si>
  <si>
    <t>1691B - Shoe Shuffling</t>
  </si>
  <si>
    <t>Fixed-width consecutive block - sliding the window updates the answer in O(1) per step. (CF tags: constructive algorithms, greedy, implementation, two pointers)</t>
  </si>
  <si>
    <t>1251A - Broken Keyboard</t>
  </si>
  <si>
    <t>Fixed-width consecutive block - sliding the window updates the answer in O(1) per step. (CF tags: brute force, strings, two pointers)</t>
  </si>
  <si>
    <t>1847B - Hamon Odyssey</t>
  </si>
  <si>
    <t>Fixed-width consecutive block - sliding the window updates the answer in O(1) per step. (CF tags: bitmasks, greedy, two pointers)</t>
  </si>
  <si>
    <t>1547C - Pair Programming</t>
  </si>
  <si>
    <t>Fixed-width consecutive block - sliding the window updates the answer in O(1) per step. (CF tags: greedy, two pointers)</t>
  </si>
  <si>
    <t>1669F - Eating Candies</t>
  </si>
  <si>
    <t>Fixed-width consecutive block - sliding the window updates the answer in O(1) per step. (CF tags: binary search, data structures, greedy, two pointers)</t>
  </si>
  <si>
    <t>1656B - Subtract Operation</t>
  </si>
  <si>
    <t>Fixed-width consecutive block - sliding the window updates the answer in O(1) per step. (CF tags: data structures, greedy, math, two pointers)</t>
  </si>
  <si>
    <t>1832B - Maximum Sum</t>
  </si>
  <si>
    <t>Fixed-width consecutive block - sliding the window updates the answer in O(1) per step. (CF tags: brute force, sortings, two pointers)</t>
  </si>
  <si>
    <t>1741C - Minimize the Thickness</t>
  </si>
  <si>
    <t>Fixed-width consecutive block - sliding the window updates the answer in O(1) per step. (CF tags: brute force, greedy, math, two pointers)</t>
  </si>
  <si>
    <t>Max Min</t>
  </si>
  <si>
    <t>Queries with Fixed-Length (Deque max)</t>
  </si>
  <si>
    <t>489B - BerSU Ball</t>
  </si>
  <si>
    <t>Expand-shrink window logic - the constraint is monotone, so each pointer moves only forward. (CF tags: dfs and similar, dp, graph matchings, greedy, sortings, two pointers)</t>
  </si>
  <si>
    <t>1343C - Alternating Subsequence</t>
  </si>
  <si>
    <t>Expand-shrink window logic - the constraint is monotone, so each pointer moves only forward. (CF tags: dp, greedy, two pointers)</t>
  </si>
  <si>
    <t>1354B - Ternary String</t>
  </si>
  <si>
    <t>Expand-shrink window logic - the constraint is monotone, so each pointer moves only forward. (CF tags: binary search, dp, implementation, two pointers)</t>
  </si>
  <si>
    <t>1399C - Boats Competition</t>
  </si>
  <si>
    <t>Expand-shrink window logic - the constraint is monotone, so each pointer moves only forward. (CF tags: brute force, greedy, two pointers)</t>
  </si>
  <si>
    <t>1364A - XXXXX</t>
  </si>
  <si>
    <t>Expand-shrink window logic - the constraint is monotone, so each pointer moves only forward. (CF tags: brute force, data structures, number theory, two pointers)</t>
  </si>
  <si>
    <t>1133C - Balanced Team</t>
  </si>
  <si>
    <t>Expand-shrink window logic - the constraint is monotone, so each pointer moves only forward. (CF tags: sortings, two pointers)</t>
  </si>
  <si>
    <t>1006C - Three Parts of the Array</t>
  </si>
  <si>
    <t>Expand-shrink window logic - the constraint is monotone, so each pointer moves only forward. (CF tags: binary search, data structures, two pointers)</t>
  </si>
  <si>
    <t>1598C - Delete Two Elements</t>
  </si>
  <si>
    <t>Expand-shrink window logic - the constraint is monotone, so each pointer moves only forward. (CF tags: data structures, dp, implementation, math, two pointers)</t>
  </si>
  <si>
    <t>1692E - Binary Deque</t>
  </si>
  <si>
    <t>Expand-shrink window logic - the constraint is monotone, so each pointer moves only forward. (CF tags: binary search, implementation, two pointers)</t>
  </si>
  <si>
    <t>1729D - Friends and the Restaurant</t>
  </si>
  <si>
    <t>Expand-shrink window logic - the constraint is monotone, so each pointer moves only forward. (CF tags: greedy, sortings, two pointers)</t>
  </si>
  <si>
    <t>1257C - Dominated Subarray</t>
  </si>
  <si>
    <t>Expand-shrink window logic - the constraint is monotone, so each pointer moves only forward. (CF tags: greedy, implementation, sortings, strings, two pointers)</t>
  </si>
  <si>
    <t>1793C - Dora and Search</t>
  </si>
  <si>
    <t>Expand-shrink window logic - the constraint is monotone, so each pointer moves only forward. (CF tags: constructive algorithms, data structures, two pointers)</t>
  </si>
  <si>
    <t>1582C - Grandma Capa Knits a Scarf</t>
  </si>
  <si>
    <t>Expand-shrink window logic - the constraint is monotone, so each pointer moves only forward. (CF tags: brute force, data structures, greedy, strings, two pointers)</t>
  </si>
  <si>
    <t>6C - Alice, Bob and Chocolate</t>
  </si>
  <si>
    <t>Expand-shrink window logic - the constraint is monotone, so each pointer moves only forward. (CF tags: greedy, two pointers)</t>
  </si>
  <si>
    <t>387B - George and Round</t>
  </si>
  <si>
    <t>Sock Merchant</t>
  </si>
  <si>
    <t>Two Strings</t>
  </si>
  <si>
    <t>Hash Tables: Ransom Note</t>
  </si>
  <si>
    <t>1622B - Berland Music</t>
  </si>
  <si>
    <t>Counting / membership question - a frequency map answers 'seen before? how often?' in O(1). (CF tags: data structures, greedy, math, sortings)</t>
  </si>
  <si>
    <t>1800C1 - Powering the Hero (easy version)</t>
  </si>
  <si>
    <t>Counting / membership question - a frequency map answers 'seen before? how often?' in O(1). (CF tags: data structures, greedy)</t>
  </si>
  <si>
    <t>1165B - Polycarp Training</t>
  </si>
  <si>
    <t>Counting / membership question - a frequency map answers 'seen before? how often?' in O(1). (CF tags: data structures, greedy, sortings)</t>
  </si>
  <si>
    <t>1438B - Valerii Against Everyone</t>
  </si>
  <si>
    <t>Counting / membership question - a frequency map answers 'seen before? how often?' in O(1). (CF tags: constructive algorithms, data structures, greedy, sortings)</t>
  </si>
  <si>
    <t>525A - Vitaliy and Pie</t>
  </si>
  <si>
    <t>Counting / membership question - a frequency map answers 'seen before? how often?' in O(1). (CF tags: greedy, hashing, strings)</t>
  </si>
  <si>
    <t>1213B - Bad Prices</t>
  </si>
  <si>
    <t>Counting / membership question - a frequency map answers 'seen before? how often?' in O(1). (CF tags: data structures, implementation)</t>
  </si>
  <si>
    <t>Frequency Queries</t>
  </si>
  <si>
    <t>Count Triplets</t>
  </si>
  <si>
    <t>Sherlock and Anagrams</t>
  </si>
  <si>
    <t>1520D - Same Differences</t>
  </si>
  <si>
    <t>Counting / membership question - a frequency map answers 'seen before? how often?' in O(1). (CF tags: data structures, hashing, math)</t>
  </si>
  <si>
    <t>1800D - Remove Two Letters</t>
  </si>
  <si>
    <t>Counting / membership question - a frequency map answers 'seen before? how often?' in O(1). (CF tags: data structures, greedy, hashing, strings)</t>
  </si>
  <si>
    <t>1650C - Weight of the System of Nested Segments</t>
  </si>
  <si>
    <t>Counting / membership question - a frequency map answers 'seen before? how often?' in O(1). (CF tags: greedy, hashing, implementation, sortings)</t>
  </si>
  <si>
    <t>71A - Way Too Long Words</t>
  </si>
  <si>
    <t>Linear character scan - apply the stated rule per character; ASCII arithmetic does the work. (CF tags: strings)</t>
  </si>
  <si>
    <t>112A - Petya and Strings</t>
  </si>
  <si>
    <t>Linear character scan - apply the stated rule per character; ASCII arithmetic does the work. (CF tags: implementation, strings)</t>
  </si>
  <si>
    <t>339A - Helpful Maths</t>
  </si>
  <si>
    <t>Linear character scan - apply the stated rule per character; ASCII arithmetic does the work. (CF tags: greedy, implementation, sortings, strings)</t>
  </si>
  <si>
    <t>281A - Word Capitalization</t>
  </si>
  <si>
    <t>236A - Boy or Girl</t>
  </si>
  <si>
    <t>Linear character scan - apply the stated rule per character; ASCII arithmetic does the work. (CF tags: brute force, implementation, strings)</t>
  </si>
  <si>
    <t>59A - Word</t>
  </si>
  <si>
    <t>734A - Anton and Danik</t>
  </si>
  <si>
    <t>41A - Translation</t>
  </si>
  <si>
    <t>520A - Pangram</t>
  </si>
  <si>
    <t>785A - Anton and Polyhedrons</t>
  </si>
  <si>
    <t>CamelCase</t>
  </si>
  <si>
    <t>Pangrams</t>
  </si>
  <si>
    <t>Caesar Cipher</t>
  </si>
  <si>
    <t>Strong Password</t>
  </si>
  <si>
    <t>HackerRank in a String!</t>
  </si>
  <si>
    <t>Strings: Making Anagrams</t>
  </si>
  <si>
    <t>Anagram</t>
  </si>
  <si>
    <t>Alternating Characters</t>
  </si>
  <si>
    <t>Beautiful Binary String</t>
  </si>
  <si>
    <t>The Love-Letter Mystery</t>
  </si>
  <si>
    <t>Palindrome Index</t>
  </si>
  <si>
    <t>Game of Thrones - I</t>
  </si>
  <si>
    <t>118A - String Task</t>
  </si>
  <si>
    <t>Anagram/palindrome structure - compare frequency multisets or mirrored index pairs. (CF tags: implementation, strings)</t>
  </si>
  <si>
    <t>58A - Chat room</t>
  </si>
  <si>
    <t>Anagram/palindrome structure - compare frequency multisets or mirrored index pairs. (CF tags: greedy, strings)</t>
  </si>
  <si>
    <t>131A - cAPS lOCK</t>
  </si>
  <si>
    <t>43A - Football</t>
  </si>
  <si>
    <t>Anagram/palindrome structure - compare frequency multisets or mirrored index pairs. (CF tags: strings)</t>
  </si>
  <si>
    <t>1374C - Move Brackets</t>
  </si>
  <si>
    <t>499B - Lecture</t>
  </si>
  <si>
    <t>1473B - String LCM</t>
  </si>
  <si>
    <t>Anagram/palindrome structure - compare frequency multisets or mirrored index pairs. (CF tags: brute force, math, number theory, strings)</t>
  </si>
  <si>
    <t>766A - Mahmoud and Longest Uncommon Subsequence</t>
  </si>
  <si>
    <t>Anagram/palindrome structure - compare frequency multisets or mirrored index pairs. (CF tags: constructive algorithms, strings)</t>
  </si>
  <si>
    <t>723A - The New Year: Meeting Friends</t>
  </si>
  <si>
    <t>Sort-first problem - once ordered, the answer falls out of one linear pass. (CF tags: implementation, math, sortings)</t>
  </si>
  <si>
    <t>1399A - Remove Smallest</t>
  </si>
  <si>
    <t>Sort-first problem - once ordered, the answer falls out of one linear pass. (CF tags: greedy, sortings)</t>
  </si>
  <si>
    <t>432A - Choosing Teams</t>
  </si>
  <si>
    <t>Sort-first problem - once ordered, the answer falls out of one linear pass. (CF tags: greedy, implementation, sortings)</t>
  </si>
  <si>
    <t>490A - Team Olympiad</t>
  </si>
  <si>
    <t>1353B - Two Arrays And Swaps</t>
  </si>
  <si>
    <t>1760A - Medium Number</t>
  </si>
  <si>
    <t>Sort-first problem - once ordered, the answer falls out of one linear pass. (CF tags: implementation, sortings)</t>
  </si>
  <si>
    <t>1360B - Honest Coach</t>
  </si>
  <si>
    <t>1676B - Equal Candies</t>
  </si>
  <si>
    <t>Sort-first problem - once ordered, the answer falls out of one linear pass. (CF tags: greedy, math, sortings)</t>
  </si>
  <si>
    <t>1742B - Increasing</t>
  </si>
  <si>
    <t>1850A - To My Critics</t>
  </si>
  <si>
    <t>Big Sorting</t>
  </si>
  <si>
    <t>Closest Numbers</t>
  </si>
  <si>
    <t>Insertion Sort - Part 1</t>
  </si>
  <si>
    <t>Insertion Sort - Part 2</t>
  </si>
  <si>
    <t>Counting Sort 1</t>
  </si>
  <si>
    <t>Counting Sort 2</t>
  </si>
  <si>
    <t>Find the Median</t>
  </si>
  <si>
    <t>456A - Laptops</t>
  </si>
  <si>
    <t>Order-statistic / stable-count structure - counting sort or merge logic beats plain sorting. (CF tags: sortings)</t>
  </si>
  <si>
    <t>1335C - Two Teams Composing</t>
  </si>
  <si>
    <t>Order-statistic / stable-count structure - counting sort or merge logic beats plain sorting. (CF tags: binary search, greedy, implementation, sortings)</t>
  </si>
  <si>
    <t>1360C - Similar Pairs</t>
  </si>
  <si>
    <t>Order-statistic / stable-count structure - counting sort or merge logic beats plain sorting. (CF tags: constructive algorithms, graph matchings, greedy, sortings)</t>
  </si>
  <si>
    <t>1334B - Middle Class</t>
  </si>
  <si>
    <t>Order-statistic / stable-count structure - counting sort or merge logic beats plain sorting. (CF tags: greedy, sortings)</t>
  </si>
  <si>
    <t>1557B - Moamen and k-subarrays</t>
  </si>
  <si>
    <t>1791E - Negatives and Positives</t>
  </si>
  <si>
    <t>Order-statistic / stable-count structure - counting sort or merge logic beats plain sorting. (CF tags: dp, greedy, sortings)</t>
  </si>
  <si>
    <t>1676E - Eating Queries</t>
  </si>
  <si>
    <t>Order-statistic / stable-count structure - counting sort or merge logic beats plain sorting. (CF tags: binary search, greedy, sortings)</t>
  </si>
  <si>
    <t>1722D - Line</t>
  </si>
  <si>
    <t>1529B - Sifid and Strange Subsequences</t>
  </si>
  <si>
    <t>Order-statistic / stable-count structure - counting sort or merge logic beats plain sorting. (CF tags: greedy, math, sortings)</t>
  </si>
  <si>
    <t>1638B - Odd Swap Sort</t>
  </si>
  <si>
    <t>Order-statistic / stable-count structure - counting sort or merge logic beats plain sorting. (CF tags: data structures, math, sortings)</t>
  </si>
  <si>
    <t>The Full Counting Sort</t>
  </si>
  <si>
    <t>Fraudulent Activity Notifications</t>
  </si>
  <si>
    <t>Merge Sort: Counting Inversions</t>
  </si>
  <si>
    <t>750A - New Year and Hurry</t>
  </si>
  <si>
    <t>Sorted-search structure - each comparison discards half the candidates. (CF tags: binary search, brute force, implementation, math)</t>
  </si>
  <si>
    <t>1611B - Team Composition: Programmers and Mathematicians</t>
  </si>
  <si>
    <t>Sorted-search structure - each comparison discards half the candidates. (CF tags: binary search, constructive algorithms, math)</t>
  </si>
  <si>
    <t>1566A - Median Maximization</t>
  </si>
  <si>
    <t>Sorted-search structure - each comparison discards half the candidates. (CF tags: binary search, greedy, math)</t>
  </si>
  <si>
    <t>1592A - Gamer Hemose</t>
  </si>
  <si>
    <t>Sorted-search structure - each comparison discards half the candidates. (CF tags: binary search, greedy, math, sortings)</t>
  </si>
  <si>
    <t>202A - LLPS</t>
  </si>
  <si>
    <t>Sorted-search structure - each comparison discards half the candidates. (CF tags: binary search, bitmasks, brute force, greedy, implementation, strings)</t>
  </si>
  <si>
    <t>1138A - Sushi for Two</t>
  </si>
  <si>
    <t>CF 900</t>
  </si>
  <si>
    <t>Sorted-search structure - each comparison discards half the candidates. (CF tags: binary search, greedy, implementation)</t>
  </si>
  <si>
    <t>1476A - K-divisible Sum</t>
  </si>
  <si>
    <t>Sorted-search structure - each comparison discards half the candidates. (CF tags: binary search, constructive algorithms, greedy, math)</t>
  </si>
  <si>
    <t>1474B - Different Divisors</t>
  </si>
  <si>
    <t>Sorted-search structure - each comparison discards half the candidates. (CF tags: binary search, constructive algorithms, greedy, math, number theory)</t>
  </si>
  <si>
    <t>1419D1 - Sage's Birthday (easy version)</t>
  </si>
  <si>
    <t>Sorted-search structure - each comparison discards half the candidates. (CF tags: binary search, constructive algorithms, greedy, sortings)</t>
  </si>
  <si>
    <t>1593C - Save More Mice</t>
  </si>
  <si>
    <t>Sorted-search structure - each comparison discards half the candidates. (CF tags: binary search, greedy, greedy)</t>
  </si>
  <si>
    <t>1195B - Sport Mafia</t>
  </si>
  <si>
    <t>Sorted-search structure - each comparison discards half the candidates. (CF tags: binary search, brute force, math)</t>
  </si>
  <si>
    <t>1809B - Points on Plane</t>
  </si>
  <si>
    <t>706B - Interesting drink</t>
  </si>
  <si>
    <t>Sorted-search structure - each comparison discards half the candidates. (CF tags: binary search, dp, implementation)</t>
  </si>
  <si>
    <t>1490C - Sum of Cubes</t>
  </si>
  <si>
    <t>Sorted-search structure - each comparison discards half the candidates. (CF tags: binary search, brute force, brute force, math)</t>
  </si>
  <si>
    <t>Binary Search: Ice Cream Parlor</t>
  </si>
  <si>
    <t>Minimum Time Required</t>
  </si>
  <si>
    <t>Hackerland Radio Transmitters</t>
  </si>
  <si>
    <t>492B - Vanya and Lanterns</t>
  </si>
  <si>
    <t>Monotone feasibility - check(X) flips once from false to true, so binary search finds the boundary. (CF tags: binary search, implementation, math, sortings)</t>
  </si>
  <si>
    <t>1352C - K-th Not Divisible by n</t>
  </si>
  <si>
    <t>Monotone feasibility - check(X) flips once from false to true, so binary search finds the boundary. (CF tags: binary search, math)</t>
  </si>
  <si>
    <t>474B - Worms</t>
  </si>
  <si>
    <t>Monotone feasibility - check(X) flips once from false to true, so binary search finds the boundary. (CF tags: binary search, implementation)</t>
  </si>
  <si>
    <t>1613C - Poisoned Dagger</t>
  </si>
  <si>
    <t>Monotone feasibility - check(X) flips once from false to true, so binary search finds the boundary. (CF tags: binary search)</t>
  </si>
  <si>
    <t>1221C - Perfect Team</t>
  </si>
  <si>
    <t>1742E - Scuza</t>
  </si>
  <si>
    <t>Monotone feasibility - check(X) flips once from false to true, so binary search finds the boundary. (CF tags: binary search, greedy, math)</t>
  </si>
  <si>
    <t>1671C - Dolce Vita</t>
  </si>
  <si>
    <t>Monotone feasibility - check(X) flips once from false to true, so binary search finds the boundary. (CF tags: binary search, brute force, greedy, math)</t>
  </si>
  <si>
    <t>230B - T-primes</t>
  </si>
  <si>
    <t>Monotone feasibility - check(X) flips once from false to true, so binary search finds the boundary. (CF tags: binary search, implementation, math, number theory)</t>
  </si>
  <si>
    <t>1328B - K-th Beautiful String</t>
  </si>
  <si>
    <t>Monotone feasibility - check(X) flips once from false to true, so binary search finds the boundary. (CF tags: binary search, brute force, combinatorics, implementation, math)</t>
  </si>
  <si>
    <t>1538C - Number of Pairs</t>
  </si>
  <si>
    <t>Monotone feasibility - check(X) flips once from false to true, so binary search finds the boundary. (CF tags: binary search, data structures, math, two pointers)</t>
  </si>
  <si>
    <t>600B - Queries about less or equal elements</t>
  </si>
  <si>
    <t>Monotone feasibility - check(X) flips once from false to true, so binary search finds the boundary. (CF tags: binary search, data structures, sortings, two pointers)</t>
  </si>
  <si>
    <t>1470A - Strange Birthday Party</t>
  </si>
  <si>
    <t>Monotone feasibility - check(X) flips once from false to true, so binary search finds the boundary. (CF tags: binary search, dp, greedy, sortings, two pointers)</t>
  </si>
  <si>
    <t>1476B - Inflation</t>
  </si>
  <si>
    <t>231A - Team</t>
  </si>
  <si>
    <t>Exchange-argument greedy - sorting by the right key makes the obvious choice optimal. (CF tags: brute force, greedy)</t>
  </si>
  <si>
    <t>50A - Domino piling</t>
  </si>
  <si>
    <t>Exchange-argument greedy - sorting by the right key makes the obvious choice optimal. (CF tags: greedy, math)</t>
  </si>
  <si>
    <t>469A - I Wanna Be the Guy</t>
  </si>
  <si>
    <t>Exchange-argument greedy - sorting by the right key makes the obvious choice optimal. (CF tags: greedy, implementation)</t>
  </si>
  <si>
    <t>1409A - Yet Another Two Integers Problem</t>
  </si>
  <si>
    <t>1367B - Even Array</t>
  </si>
  <si>
    <t>1360A - Minimal Square</t>
  </si>
  <si>
    <t>1370A - Maximum GCD</t>
  </si>
  <si>
    <t>Exchange-argument greedy - sorting by the right key makes the obvious choice optimal. (CF tags: greedy, implementation, math, number theory)</t>
  </si>
  <si>
    <t>1551A - Polycarp and Coins</t>
  </si>
  <si>
    <t>749A - Bachgold Problem</t>
  </si>
  <si>
    <t>1399B - Gifts Fixing</t>
  </si>
  <si>
    <t>Exchange-argument greedy - sorting by the right key makes the obvious choice optimal. (CF tags: greedy)</t>
  </si>
  <si>
    <t>Priyanka and Toys</t>
  </si>
  <si>
    <t>Jim and the Orders</t>
  </si>
  <si>
    <t>Luck Balance</t>
  </si>
  <si>
    <t>Maximum Perimeter Triangle</t>
  </si>
  <si>
    <t>Minimum Absolute Difference in an Array</t>
  </si>
  <si>
    <t>Largest Permutation</t>
  </si>
  <si>
    <t>Grid Challenge</t>
  </si>
  <si>
    <t>Marc's Cakewalk</t>
  </si>
  <si>
    <t>1712C - Sort Zero</t>
  </si>
  <si>
    <t>Greedy with a proof burden - the sort key comes from an exchange argument, not intuition. (CF tags: greedy, sortings)</t>
  </si>
  <si>
    <t>1791G1 - Teleporters (Easy Version)</t>
  </si>
  <si>
    <t>1807G1 - Subsequence Addition (Easy Version)</t>
  </si>
  <si>
    <t>Greedy with a proof burden - the sort key comes from an exchange argument, not intuition. (CF tags: brute force, data structures, dp, greedy, implementation, sortings)</t>
  </si>
  <si>
    <t>1685A - Circular Local MiniMax</t>
  </si>
  <si>
    <t>Greedy with a proof burden - the sort key comes from an exchange argument, not intuition. (CF tags: constructive algorithms, greedy, sortings)</t>
  </si>
  <si>
    <t>1625B - Elementary Particles</t>
  </si>
  <si>
    <t>Greedy with a proof burden - the sort key comes from an exchange argument, not intuition. (CF tags: brute force, greedy, sortings)</t>
  </si>
  <si>
    <t>1807G2 - Subsequence Addition (Hard Version)</t>
  </si>
  <si>
    <t>Greedy with a proof burden - the sort key comes from an exchange argument, not intuition. (CF tags: bitmasks, dp, greedy, implementation, sortings)</t>
  </si>
  <si>
    <t>1417B - Two Arrays</t>
  </si>
  <si>
    <t>Greedy with a proof burden - the sort key comes from an exchange argument, not intuition. (CF tags: greedy, math, sortings)</t>
  </si>
  <si>
    <t>Greedy Florist</t>
  </si>
  <si>
    <t>1472D - Even-Odd Game</t>
  </si>
  <si>
    <t>Greedy with a proof burden - the sort key comes from an exchange argument, not intuition. (CF tags: dp, games, greedy, sortings)</t>
  </si>
  <si>
    <t>1355B - Young Explorers</t>
  </si>
  <si>
    <t>Greedy with a proof burden - the sort key comes from an exchange argument, not intuition. (CF tags: dp, greedy, sortings)</t>
  </si>
  <si>
    <t>1406B - Maximum Product</t>
  </si>
  <si>
    <t>Greedy with a proof burden - the sort key comes from an exchange argument, not intuition. (CF tags: brute force, dp, greedy, implementation, sortings)</t>
  </si>
  <si>
    <t>285C - Building Permutation</t>
  </si>
  <si>
    <t>Greedy with a proof burden - the sort key comes from an exchange argument, not intuition. (CF tags: greedy, implementation, sortings)</t>
  </si>
  <si>
    <t>4A - Watermelon</t>
  </si>
  <si>
    <t>Closed-form / parity reasoning - constraints scream 'derive a formula, don't iterate'. (CF tags: brute force, math)</t>
  </si>
  <si>
    <t>617A - Elephant</t>
  </si>
  <si>
    <t>Closed-form / parity reasoning - constraints scream 'derive a formula, don't iterate'. (CF tags: math)</t>
  </si>
  <si>
    <t>486A - Calculating Function</t>
  </si>
  <si>
    <t>Closed-form / parity reasoning - constraints scream 'derive a formula, don't iterate'. (CF tags: implementation, math)</t>
  </si>
  <si>
    <t>200B - Drinks</t>
  </si>
  <si>
    <t>1328A - Divisibility Problem</t>
  </si>
  <si>
    <t>148A - Insomnia cure</t>
  </si>
  <si>
    <t>Closed-form / parity reasoning - constraints scream 'derive a formula, don't iterate'. (CF tags: constructive algorithms, implementation, math)</t>
  </si>
  <si>
    <t>1335A - Candies and Two Sisters</t>
  </si>
  <si>
    <t>1352A - Sum of Round Numbers</t>
  </si>
  <si>
    <t>581A - Vasya the Hipster</t>
  </si>
  <si>
    <t>732A - Buy a Shovel</t>
  </si>
  <si>
    <t>Closed-form / parity reasoning - constraints scream 'derive a formula, don't iterate'. (CF tags: brute force, constructive algorithms, implementation, math)</t>
  </si>
  <si>
    <t>1154A - Restoring Three Numbers</t>
  </si>
  <si>
    <t>151A - Soft Drinking</t>
  </si>
  <si>
    <t>758A - Holiday Of Equality</t>
  </si>
  <si>
    <t>Handshake</t>
  </si>
  <si>
    <t>Restaurant</t>
  </si>
  <si>
    <t>Leonardo's Prime Factors</t>
  </si>
  <si>
    <t>122A - Lucky Division</t>
  </si>
  <si>
    <t>Number-theoretic structure - gcd/factorization/sieve is the intended machinery. (CF tags: brute force, number theory)</t>
  </si>
  <si>
    <t>742A - Arpa’s hard exam and Mehrdad’s naive cheat</t>
  </si>
  <si>
    <t>Number-theoretic structure - gcd/factorization/sieve is the intended machinery. (CF tags: implementation, math, number theory)</t>
  </si>
  <si>
    <t>577A - Multiplication Table</t>
  </si>
  <si>
    <t>Number-theoretic structure - gcd/factorization/sieve is the intended machinery. (CF tags: implementation, number theory)</t>
  </si>
  <si>
    <t>1521A - Nastia and Nearly Good Numbers</t>
  </si>
  <si>
    <t>Number-theoretic structure - gcd/factorization/sieve is the intended machinery. (CF tags: constructive algorithms, math, number theory)</t>
  </si>
  <si>
    <t>1326A - Bad Ugly Numbers</t>
  </si>
  <si>
    <t>Number-theoretic structure - gcd/factorization/sieve is the intended machinery. (CF tags: constructive algorithms, number theory)</t>
  </si>
  <si>
    <t>766B - Mahmoud and a Triangle</t>
  </si>
  <si>
    <t>Number-theoretic structure - gcd/factorization/sieve is the intended machinery. (CF tags: constructive algorithms, geometry, greedy, math, number theory, sortings)</t>
  </si>
  <si>
    <t>1515B - Phoenix and Puzzle</t>
  </si>
  <si>
    <t>Number-theoretic structure - gcd/factorization/sieve is the intended machinery. (CF tags: brute force, geometry, math, number theory)</t>
  </si>
  <si>
    <t>1485A - Add and Divide</t>
  </si>
  <si>
    <t>Number-theoretic structure - gcd/factorization/sieve is the intended machinery. (CF tags: brute force, greedy, math, number theory)</t>
  </si>
  <si>
    <t>1562B - Scenes From a Memory</t>
  </si>
  <si>
    <t>Number-theoretic structure - gcd/factorization/sieve is the intended machinery. (CF tags: brute force, constructive algorithms, implementation, math, number theory)</t>
  </si>
  <si>
    <t>1858C - Yet Another Permutation Problem</t>
  </si>
  <si>
    <t>Number-theoretic structure - gcd/factorization/sieve is the intended machinery. (CF tags: constructive algorithms, greedy, math, number theory)</t>
  </si>
  <si>
    <t>1411B - Fair Numbers</t>
  </si>
  <si>
    <t>1051B - Relatively Prime Pairs</t>
  </si>
  <si>
    <t>Number-theoretic structure - gcd/factorization/sieve is the intended machinery. (CF tags: greedy, math, number theory)</t>
  </si>
  <si>
    <t>1107B - Digital root</t>
  </si>
  <si>
    <t>Number-theoretic structure - gcd/factorization/sieve is the intended machinery. (CF tags: math, number theory)</t>
  </si>
  <si>
    <t>919B - Perfect Number</t>
  </si>
  <si>
    <t>Number-theoretic structure - gcd/factorization/sieve is the intended machinery. (CF tags: binary search, brute force, dp, implementation, number theory)</t>
  </si>
  <si>
    <t>1527A - And Then There Were K</t>
  </si>
  <si>
    <t>Bitwise structure - the operation acts independently on each bit, so reason bit-by-bit. (CF tags: bitmasks)</t>
  </si>
  <si>
    <t>1843C - Sum in Binary Tree</t>
  </si>
  <si>
    <t>Bitwise structure - the operation acts independently on each bit, so reason bit-by-bit. (CF tags: bitmasks, combinatorics, math, trees)</t>
  </si>
  <si>
    <t>1698A - XOR Mixup</t>
  </si>
  <si>
    <t>Bitwise structure - the operation acts independently on each bit, so reason bit-by-bit. (CF tags: bitmasks, brute force)</t>
  </si>
  <si>
    <t>1421A - XORwice</t>
  </si>
  <si>
    <t>Bitwise structure - the operation acts independently on each bit, so reason bit-by-bit. (CF tags: bitmasks, greedy, math)</t>
  </si>
  <si>
    <t>1829C - Mr. Perfectly Fine</t>
  </si>
  <si>
    <t>Bitwise structure - the operation acts independently on each bit, so reason bit-by-bit. (CF tags: bitmasks, greedy, implementation)</t>
  </si>
  <si>
    <t>1635A - Min Or Sum</t>
  </si>
  <si>
    <t>Bitwise structure - the operation acts independently on each bit, so reason bit-by-bit. (CF tags: bitmasks, greedy)</t>
  </si>
  <si>
    <t>1688A - Cirno's Perfect Bitmasks Classroom</t>
  </si>
  <si>
    <t>1566B - MIN-MEX Cut</t>
  </si>
  <si>
    <t>Bitwise structure - the operation acts independently on each bit, so reason bit-by-bit. (CF tags: bitmasks, constructive algorithms, dp, greedy)</t>
  </si>
  <si>
    <t>Lonely Integer</t>
  </si>
  <si>
    <t>Flipping Bits</t>
  </si>
  <si>
    <t>Maximizing XOR</t>
  </si>
  <si>
    <t>Sum vs XOR</t>
  </si>
  <si>
    <t>AND Product</t>
  </si>
  <si>
    <t>Counter Game</t>
  </si>
  <si>
    <t>Sansa and XOR</t>
  </si>
  <si>
    <t>271A - Beautiful Year</t>
  </si>
  <si>
    <t>Recursive decomposition / exhaustive search - bounds allow trying every possibility. (CF tags: brute force)</t>
  </si>
  <si>
    <t>268A - Games</t>
  </si>
  <si>
    <t>155A - I_love_\%username\%</t>
  </si>
  <si>
    <t>1512A - Spy Detected!</t>
  </si>
  <si>
    <t>Recursive decomposition / exhaustive search - bounds allow trying every possibility. (CF tags: brute force, implementation)</t>
  </si>
  <si>
    <t>1520A - Do Not Be Distracted!</t>
  </si>
  <si>
    <t>80A - Panoramix's Prediction</t>
  </si>
  <si>
    <t>1535A - Fair Playoff</t>
  </si>
  <si>
    <t>1520B - Ordinary Numbers</t>
  </si>
  <si>
    <t>Recursive decomposition / exhaustive search - bounds allow trying every possibility. (CF tags: brute force, math, number theory)</t>
  </si>
  <si>
    <t>935A - Fafa and his Company</t>
  </si>
  <si>
    <t>509A - Maximum in Table</t>
  </si>
  <si>
    <t>1097A - Gennady and a Card Game</t>
  </si>
  <si>
    <t>Recursion: Fibonacci Numbers</t>
  </si>
  <si>
    <t>Recursive Digit Sum</t>
  </si>
  <si>
    <t>The Power Sum</t>
  </si>
  <si>
    <t>Recursion: Davis' Staircase</t>
  </si>
  <si>
    <t>1520C - Not Adjacent Matrix</t>
  </si>
  <si>
    <t>Construct-and-verify pattern - build the object directly; backtrack when a partial choice fails. (CF tags: constructive algorithms)</t>
  </si>
  <si>
    <t>688B - Lovely Palindromes</t>
  </si>
  <si>
    <t>Construct-and-verify pattern - build the object directly; backtrack when a partial choice fails. (CF tags: constructive algorithms, math)</t>
  </si>
  <si>
    <t>118B - Present from Lena</t>
  </si>
  <si>
    <t>Construct-and-verify pattern - build the object directly; backtrack when a partial choice fails. (CF tags: constructive algorithms, implementation)</t>
  </si>
  <si>
    <t>1469A - Regular Bracket Sequence</t>
  </si>
  <si>
    <t>Construct-and-verify pattern - build the object directly; backtrack when a partial choice fails. (CF tags: constructive algorithms, greedy)</t>
  </si>
  <si>
    <t>1490B - Balanced Remainders</t>
  </si>
  <si>
    <t>Construct-and-verify pattern - build the object directly; backtrack when a partial choice fails. (CF tags: brute force, constructive algorithms, math)</t>
  </si>
  <si>
    <t>1333A - Little Artem</t>
  </si>
  <si>
    <t>1312B - Bogosort</t>
  </si>
  <si>
    <t>Construct-and-verify pattern - build the object directly; backtrack when a partial choice fails. (CF tags: constructive algorithms, sortings)</t>
  </si>
  <si>
    <t>680B - Bear and Finding Criminals</t>
  </si>
  <si>
    <t>1772C - Different Differences</t>
  </si>
  <si>
    <t>Construct-and-verify pattern - build the object directly; backtrack when a partial choice fails. (CF tags: constructive algorithms, greedy, math)</t>
  </si>
  <si>
    <t>1405B - Array Cancellation</t>
  </si>
  <si>
    <t>1579E1 - Permutation Minimization by Deque</t>
  </si>
  <si>
    <t>1713B - Optimal Reduction</t>
  </si>
  <si>
    <t>1632B - Roof Construction</t>
  </si>
  <si>
    <t>Construct-and-verify pattern - build the object directly; backtrack when a partial choice fails. (CF tags: bitmasks, constructive algorithms)</t>
  </si>
  <si>
    <t>1859B - Olya and Game with Arrays</t>
  </si>
  <si>
    <t>Construct-and-verify pattern - build the object directly; backtrack when a partial choice fails. (CF tags: constructive algorithms, greedy, math, sortings)</t>
  </si>
  <si>
    <t>Crossword Puzzle</t>
  </si>
  <si>
    <t>Print the Elements of a Linked List</t>
  </si>
  <si>
    <t>Insert a Node at the Tail</t>
  </si>
  <si>
    <t>Insert a Node at the Head</t>
  </si>
  <si>
    <t>Insert a Node at a Specific Position</t>
  </si>
  <si>
    <t>Delete a Node</t>
  </si>
  <si>
    <t>Print in Reverse</t>
  </si>
  <si>
    <t>Reverse a Linked List</t>
  </si>
  <si>
    <t>Compare Two Linked Lists</t>
  </si>
  <si>
    <t>Merge Two Sorted Linked Lists</t>
  </si>
  <si>
    <t>Node at a Specific Position from the Tail</t>
  </si>
  <si>
    <t>Delete Duplicate-Value Nodes (Sorted List)</t>
  </si>
  <si>
    <t>Cycle Detection</t>
  </si>
  <si>
    <t>Find Merge Point of Two Lists</t>
  </si>
  <si>
    <t>Insert into a Sorted Doubly Linked List</t>
  </si>
  <si>
    <t>Reverse a Doubly Linked List</t>
  </si>
  <si>
    <t>Maximum Element</t>
  </si>
  <si>
    <t>Equal Stacks</t>
  </si>
  <si>
    <t>767A - Snacktower</t>
  </si>
  <si>
    <t>LIFO structure - the most recently seen unresolved element is always the one that matters next. (CF tags: data structures, implementation)</t>
  </si>
  <si>
    <t>427B - Prison Transfer</t>
  </si>
  <si>
    <t>522B - Photo to Remember</t>
  </si>
  <si>
    <t>LIFO structure - the most recently seen unresolved element is always the one that matters next. (CF tags: *special problem, data structures, dp, implementation)</t>
  </si>
  <si>
    <t>834B - The Festive Evening</t>
  </si>
  <si>
    <t>Balanced Brackets</t>
  </si>
  <si>
    <t>Simple Text Editor</t>
  </si>
  <si>
    <t>Game of Two Stacks</t>
  </si>
  <si>
    <t>Waiter</t>
  </si>
  <si>
    <t>1679B - Stone Age Problem</t>
  </si>
  <si>
    <t>1104B - Game with string</t>
  </si>
  <si>
    <t>LIFO structure - the most recently seen unresolved element is always the one that matters next. (CF tags: data structures, implementation, math)</t>
  </si>
  <si>
    <t>1763B - Incinerate</t>
  </si>
  <si>
    <t>LIFO structure - the most recently seen unresolved element is always the one that matters next. (CF tags: binary search, brute force, data structures, implementation, math, sortings)</t>
  </si>
  <si>
    <t>18C - Stripe</t>
  </si>
  <si>
    <t>879B - Table Tennis</t>
  </si>
  <si>
    <t>1702C - Train and Queries</t>
  </si>
  <si>
    <t>Next-greater/smaller structure - a monotonic stack resolves each element exactly once. (CF tags: data structures, greedy)</t>
  </si>
  <si>
    <t>1428C - ABBB</t>
  </si>
  <si>
    <t>Next-greater/smaller structure - a monotonic stack resolves each element exactly once. (CF tags: brute force, data structures, greedy, strings)</t>
  </si>
  <si>
    <t>1800C2 - Powering the Hero (hard version)</t>
  </si>
  <si>
    <t>1492B - Card Deck</t>
  </si>
  <si>
    <t>Next-greater/smaller structure - a monotonic stack resolves each element exactly once. (CF tags: data structures, greedy, math)</t>
  </si>
  <si>
    <t>1760E - Binary Inversions</t>
  </si>
  <si>
    <t>1566D1 - Seating Arrangements (easy version)</t>
  </si>
  <si>
    <t>Next-greater/smaller structure - a monotonic stack resolves each element exactly once. (CF tags: data structures, greedy, sortings)</t>
  </si>
  <si>
    <t>755B - PolandBall and Game</t>
  </si>
  <si>
    <t>Next-greater/smaller structure - a monotonic stack resolves each element exactly once. (CF tags: binary search, data structures, games, greedy, sortings, strings)</t>
  </si>
  <si>
    <t>Largest Rectangle</t>
  </si>
  <si>
    <t>1512D - Corrupted Array</t>
  </si>
  <si>
    <t>Next-greater/smaller structure - a monotonic stack resolves each element exactly once. (CF tags: constructive algorithms, data structures, greedy)</t>
  </si>
  <si>
    <t>1790D - Matryoshkas</t>
  </si>
  <si>
    <t>1730C - Minimum Notation</t>
  </si>
  <si>
    <t>Next-greater/smaller structure - a monotonic stack resolves each element exactly once. (CF tags: data structures, greedy, math, sortings)</t>
  </si>
  <si>
    <t>1214C - Bad Sequence</t>
  </si>
  <si>
    <t>1848B - Vika and the Bridge</t>
  </si>
  <si>
    <t>Next-greater/smaller structure - a monotonic stack resolves each element exactly once. (CF tags: binary search, data structures, greedy, implementation, math, sortings)</t>
  </si>
  <si>
    <t>Poisonous Plants</t>
  </si>
  <si>
    <t>Truck Tour</t>
  </si>
  <si>
    <t>368B - Sereja and Suffixes</t>
  </si>
  <si>
    <t>FIFO / both-ends structure - arrival order (or window front) drives who is processed next. (CF tags: data structures, dp)</t>
  </si>
  <si>
    <t>Queue using Two Stacks</t>
  </si>
  <si>
    <t>Down to Zero II</t>
  </si>
  <si>
    <t>1846C - Rudolf and the Another Competition</t>
  </si>
  <si>
    <t>FIFO / both-ends structure - arrival order (or window front) drives who is processed next. (CF tags: constructive algorithms, data structures, dp, greedy, sortings)</t>
  </si>
  <si>
    <t>637B - Chat Order</t>
  </si>
  <si>
    <t>FIFO / both-ends structure - arrival order (or window front) drives who is processed next. (CF tags: *special problem, binary search, constructive algorithms, data structures, sortings)</t>
  </si>
  <si>
    <t>701B - Cells Not Under Attack</t>
  </si>
  <si>
    <t>FIFO / both-ends structure - arrival order (or window front) drives who is processed next. (CF tags: data structures, math)</t>
  </si>
  <si>
    <t>4C - Registration System</t>
  </si>
  <si>
    <t>FIFO / both-ends structure - arrival order (or window front) drives who is processed next. (CF tags: data structures, hashing, implementation)</t>
  </si>
  <si>
    <t>1698C - 3SUM Closure</t>
  </si>
  <si>
    <t>FIFO / both-ends structure - arrival order (or window front) drives who is processed next. (CF tags: brute force, data structures)</t>
  </si>
  <si>
    <t>1234B2 - Social Network (hard version)</t>
  </si>
  <si>
    <t>FIFO / both-ends structure - arrival order (or window front) drives who is processed next. (CF tags: data structures, implementation)</t>
  </si>
  <si>
    <t>1703F - Yet Another Problem About Pairs Satisfying an Inequality</t>
  </si>
  <si>
    <t>FIFO / both-ends structure - arrival order (or window front) drives who is processed next. (CF tags: binary search, data structures, dp, greedy, sortings)</t>
  </si>
  <si>
    <t>1498B - Box Fitting</t>
  </si>
  <si>
    <t>FIFO / both-ends structure - arrival order (or window front) drives who is processed next. (CF tags: binary search, bitmasks, data structures, greedy)</t>
  </si>
  <si>
    <t>1676F - Longest Strike</t>
  </si>
  <si>
    <t>FIFO / both-ends structure - arrival order (or window front) drives who is processed next. (CF tags: data structures, greedy, implementation, sortings, two pointers)</t>
  </si>
  <si>
    <t>1237B - Balanced Tunnel</t>
  </si>
  <si>
    <t>FIFO / both-ends structure - arrival order (or window front) drives who is processed next. (CF tags: data structures, sortings, two pointers)</t>
  </si>
  <si>
    <t>1736C1 - Good Subarrays (Easy Version)</t>
  </si>
  <si>
    <t>FIFO / both-ends structure - arrival order (or window front) drives who is processed next. (CF tags: binary search, data structures, schedules, two pointers)</t>
  </si>
  <si>
    <t>1265B - Beautiful Numbers</t>
  </si>
  <si>
    <t>FIFO / both-ends structure - arrival order (or window front) drives who is processed next. (CF tags: data structures, implementation, math, two pointers)</t>
  </si>
  <si>
    <t>QHEAP1</t>
  </si>
  <si>
    <t>Jesse and Cookies</t>
  </si>
  <si>
    <t>777B - Game of Credit Cards</t>
  </si>
  <si>
    <t>Repeated-extremum pattern - a heap serves the current best element as the data changes. (CF tags: data structures, dp, greedy, sortings)</t>
  </si>
  <si>
    <t>982B - Bus of Characters</t>
  </si>
  <si>
    <t>Repeated-extremum pattern - a heap serves the current best element as the data changes. (CF tags: data structures, greedy, implementation)</t>
  </si>
  <si>
    <t>572B - Order Book</t>
  </si>
  <si>
    <t>Repeated-extremum pattern - a heap serves the current best element as the data changes. (CF tags: data structures, greedy, implementation, sortings)</t>
  </si>
  <si>
    <t>1348B - Phoenix and Beauty</t>
  </si>
  <si>
    <t>Repeated-extremum pattern - a heap serves the current best element as the data changes. (CF tags: constructive algorithms, data structures, greedy, sortings)</t>
  </si>
  <si>
    <t>1365C - Rotation Matching</t>
  </si>
  <si>
    <t>Repeated-extremum pattern - a heap serves the current best element as the data changes. (CF tags: constructive algorithms, data structures, greedy, implementation)</t>
  </si>
  <si>
    <t>1375C - Element Extermination</t>
  </si>
  <si>
    <t>Repeated-extremum pattern - a heap serves the current best element as the data changes. (CF tags: constructive algorithms, data structures, greedy)</t>
  </si>
  <si>
    <t>1506D - Epic Transformation</t>
  </si>
  <si>
    <t>1490E - Accidental Victory</t>
  </si>
  <si>
    <t>Repeated-extremum pattern - a heap serves the current best element as the data changes. (CF tags: binary search, data structures, greedy)</t>
  </si>
  <si>
    <t>1393B - Applejack and Storages</t>
  </si>
  <si>
    <t>1515C - Phoenix and Towers</t>
  </si>
  <si>
    <t>1519C - Berland Regional</t>
  </si>
  <si>
    <t>Repeated-extremum pattern - a heap serves the current best element as the data changes. (CF tags: brute force, data structures, greedy, number theory, sortings)</t>
  </si>
  <si>
    <t>Find the Running Median</t>
  </si>
  <si>
    <t>Minimum Average Waiting Time</t>
  </si>
  <si>
    <t>Tree: Preorder Traversal</t>
  </si>
  <si>
    <t>Tree: Postorder Traversal</t>
  </si>
  <si>
    <t>Tree: Inorder Traversal</t>
  </si>
  <si>
    <t>Tree: Height of a Binary Tree</t>
  </si>
  <si>
    <t>Tree: Level Order Traversal</t>
  </si>
  <si>
    <t>Tree: Top View</t>
  </si>
  <si>
    <t>1511C - Yet Another Card Deck</t>
  </si>
  <si>
    <t>Tree-traversal drill - the recursion order (or BFS queue) is the whole solution. (CF tags: brute force, data structures, implementation, trees)</t>
  </si>
  <si>
    <t>Tree: Huffman Decoding</t>
  </si>
  <si>
    <t>522A - Reposts</t>
  </si>
  <si>
    <t>Tree-traversal drill - the recursion order (or BFS queue) is the whole solution. (CF tags: *special problem, dfs and similar, dp, graphs, trees)</t>
  </si>
  <si>
    <t>913B - Christmas Spruce</t>
  </si>
  <si>
    <t>Tree-traversal drill - the recursion order (or BFS queue) is the whole solution. (CF tags: implementation, trees)</t>
  </si>
  <si>
    <t>1843D - Apple Tree</t>
  </si>
  <si>
    <t>Tree-traversal drill - the recursion order (or BFS queue) is the whole solution. (CF tags: combinatorics, dfs and similar, dp, math, trees)</t>
  </si>
  <si>
    <t>1583B - Omkar and Heavenly Tree</t>
  </si>
  <si>
    <t>Tree-traversal drill - the recursion order (or BFS queue) is the whole solution. (CF tags: constructive algorithms, trees)</t>
  </si>
  <si>
    <t>1857D - Strong Vertices</t>
  </si>
  <si>
    <t>Tree-traversal drill - the recursion order (or BFS queue) is the whole solution. (CF tags: math, sortings, trees)</t>
  </si>
  <si>
    <t>862B - Mahmoud and Ehab and the bipartiteness</t>
  </si>
  <si>
    <t>Tree-traversal drill - the recursion order (or BFS queue) is the whole solution. (CF tags: dfs and similar, graphs, trees)</t>
  </si>
  <si>
    <t>1741D - Masha and a Beautiful Tree</t>
  </si>
  <si>
    <t>Tree-traversal drill - the recursion order (or BFS queue) is the whole solution. (CF tags: dfs and similar, divide and conquer, graphs, sortings, trees)</t>
  </si>
  <si>
    <t>Binary Search Tree: Insertion</t>
  </si>
  <si>
    <t>BST: Lowest Common Ancestor</t>
  </si>
  <si>
    <t>Trees: Is This a Binary Search Tree?</t>
  </si>
  <si>
    <t>Swap Nodes [Algo]</t>
  </si>
  <si>
    <t>Even Tree</t>
  </si>
  <si>
    <t>1676G - White-Black Balanced Subtrees</t>
  </si>
  <si>
    <t>BST invariant / subtree aggregation - DFS return values carry the answer up the tree. (CF tags: dfs and similar, dp, graphs, trees)</t>
  </si>
  <si>
    <t>1675D - Vertical Paths</t>
  </si>
  <si>
    <t>BST invariant / subtree aggregation - DFS return values carry the answer up the tree. (CF tags: graphs, implementation, trees)</t>
  </si>
  <si>
    <t>755C - PolandBall and Forest</t>
  </si>
  <si>
    <t>BST invariant / subtree aggregation - DFS return values carry the answer up the tree. (CF tags: dfs and similar, dsu, graphs, interactive, trees)</t>
  </si>
  <si>
    <t>429A - Xor-tree</t>
  </si>
  <si>
    <t>BST invariant / subtree aggregation - DFS return values carry the answer up the tree. (CF tags: dfs and similar, trees)</t>
  </si>
  <si>
    <t>886C - Petya and Catacombs</t>
  </si>
  <si>
    <t>BST invariant / subtree aggregation - DFS return values carry the answer up the tree. (CF tags: dsu, greedy, implementation, trees)</t>
  </si>
  <si>
    <t>1627C - Not Assigning</t>
  </si>
  <si>
    <t>BST invariant / subtree aggregation - DFS return values carry the answer up the tree. (CF tags: constructive algorithms, dfs and similar, number theory, trees)</t>
  </si>
  <si>
    <t>1559D1 - Mocha and Diana (Easy Version)</t>
  </si>
  <si>
    <t>BST invariant / subtree aggregation - DFS return values carry the answer up the tree. (CF tags: brute force, constructive algorithms, dsu, graphs, greedy, trees)</t>
  </si>
  <si>
    <t>1830A - Copil Copac Draws Trees</t>
  </si>
  <si>
    <t>1143C - Queen</t>
  </si>
  <si>
    <t>981C - Useful Decomposition</t>
  </si>
  <si>
    <t>BST invariant / subtree aggregation - DFS return values carry the answer up the tree. (CF tags: implementation, trees)</t>
  </si>
  <si>
    <t>500A - New Year Transportation</t>
  </si>
  <si>
    <t>Unweighted shortest-path - BFS visits nodes in increasing distance order by construction. (CF tags: dfs and similar, graphs, implementation)</t>
  </si>
  <si>
    <t>1020B - Badge</t>
  </si>
  <si>
    <t>Unweighted shortest-path - BFS visits nodes in increasing distance order by construction. (CF tags: brute force, dfs and similar, graphs)</t>
  </si>
  <si>
    <t>1033A - King Escape</t>
  </si>
  <si>
    <t>1829E - The Lakes</t>
  </si>
  <si>
    <t>Unweighted shortest-path - BFS visits nodes in increasing distance order by construction. (CF tags: dfs and similar, dsu, graphs, implementation)</t>
  </si>
  <si>
    <t>1255B - Fridge Lockers</t>
  </si>
  <si>
    <t>Unweighted shortest-path - BFS visits nodes in increasing distance order by construction. (CF tags: graphs, implementation)</t>
  </si>
  <si>
    <t>BFS: Shortest Reach</t>
  </si>
  <si>
    <t>Snakes and Ladders: The Quickest Way Up</t>
  </si>
  <si>
    <t>Connected Cells in a Grid</t>
  </si>
  <si>
    <t>217A - Ice Skating</t>
  </si>
  <si>
    <t>Unweighted shortest-path - BFS visits nodes in increasing distance order by construction. (CF tags: brute force, dfs and similar, dsu, graphs)</t>
  </si>
  <si>
    <t>1559C - Mocha and Hiking</t>
  </si>
  <si>
    <t>Unweighted shortest-path - BFS visits nodes in increasing distance order by construction. (CF tags: constructive algorithms, graphs)</t>
  </si>
  <si>
    <t>1327B - Princesses and Princes</t>
  </si>
  <si>
    <t>Unweighted shortest-path - BFS visits nodes in increasing distance order by construction. (CF tags: brute force, graphs, greedy)</t>
  </si>
  <si>
    <t>1647B - Madoka and the Elegant Gift</t>
  </si>
  <si>
    <t>Unweighted shortest-path - BFS visits nodes in increasing distance order by construction. (CF tags: brute force, constructive algorithms, graphs, implementation)</t>
  </si>
  <si>
    <t>1428B - Belted Rooms</t>
  </si>
  <si>
    <t>129B - Students and Shoelaces</t>
  </si>
  <si>
    <t>Unweighted shortest-path - BFS visits nodes in increasing distance order by construction. (CF tags: brute force, dfs and similar, graphs, implementation)</t>
  </si>
  <si>
    <t>1581B - Diameter of Graph</t>
  </si>
  <si>
    <t>Unweighted shortest-path - BFS visits nodes in increasing distance order by construction. (CF tags: constructive algorithms, graphs, greedy, math)</t>
  </si>
  <si>
    <t>1623B - Game on Ranges</t>
  </si>
  <si>
    <t>Component/reachability structure - one DFS flood per component answers the question. (CF tags: brute force, dfs and similar, implementation, sortings)</t>
  </si>
  <si>
    <t>Journey to the Moon</t>
  </si>
  <si>
    <t>Roads and Libraries</t>
  </si>
  <si>
    <t>445A - DZY Loves Chessboard</t>
  </si>
  <si>
    <t>Component/reachability structure - one DFS flood per component answers the question. (CF tags: dfs and similar, implementation)</t>
  </si>
  <si>
    <t>1433D - Districts Connection</t>
  </si>
  <si>
    <t>Component/reachability structure - one DFS flood per component answers the question. (CF tags: constructive algorithms, dfs and similar)</t>
  </si>
  <si>
    <t>1311B - WeirdSort</t>
  </si>
  <si>
    <t>Component/reachability structure - one DFS flood per component answers the question. (CF tags: dfs and similar, sortings)</t>
  </si>
  <si>
    <t>1490D - Permutation Transformation</t>
  </si>
  <si>
    <t>Component/reachability structure - one DFS flood per component answers the question. (CF tags: dfs and similar, divide and conquer, implementation)</t>
  </si>
  <si>
    <t>1669G - Fall Down</t>
  </si>
  <si>
    <t>902B - Coloring a Tree</t>
  </si>
  <si>
    <t>Component/reachability structure - one DFS flood per component answers the question. (CF tags: dfs and similar, dsu, greedy)</t>
  </si>
  <si>
    <t>893C - Rumor</t>
  </si>
  <si>
    <t>Component/reachability structure - one DFS flood per component answers the question. (CF tags: dfs and similar, graphs, greedy)</t>
  </si>
  <si>
    <t>1249B2 - Books Exchange (hard version)</t>
  </si>
  <si>
    <t>Component/reachability structure - one DFS flood per component answers the question. (CF tags: dfs and similar, dsu, math)</t>
  </si>
  <si>
    <t>1829F - Forever Winter</t>
  </si>
  <si>
    <t>Component/reachability structure - one DFS flood per component answers the question. (CF tags: dfs and similar, graphs, math)</t>
  </si>
  <si>
    <t>1182B - Plus from Picture</t>
  </si>
  <si>
    <t>Component/reachability structure - one DFS flood per component answers the question. (CF tags: dfs and similar, implementation, strings)</t>
  </si>
  <si>
    <t>1152B - Neko Performs Cat Furrier Transform</t>
  </si>
  <si>
    <t>Component/reachability structure - one DFS flood per component answers the question. (CF tags: bitmasks, constructive algorithms, dfs and similar, math)</t>
  </si>
  <si>
    <t>932B - Recursive Queries</t>
  </si>
  <si>
    <t>Component/reachability structure - one DFS flood per component answers the question. (CF tags: binary search, data structures, dfs and similar)</t>
  </si>
  <si>
    <t>501B - Misha and Changing Handles</t>
  </si>
  <si>
    <t>Dynamic connectivity - DSU merges groups as edges arrive; Kruskal is DSU + sorted edges. (CF tags: data structures, dsu, strings)</t>
  </si>
  <si>
    <t>Merging Communities</t>
  </si>
  <si>
    <t>Components in a Graph</t>
  </si>
  <si>
    <t>Kruskal (MST): Really Special Subtree</t>
  </si>
  <si>
    <t>Prim's (MST): Special Subtree</t>
  </si>
  <si>
    <t>1592B - Hemose Shopping</t>
  </si>
  <si>
    <t>Dynamic connectivity - DSU merges groups as edges arrive; Kruskal is DSU + sorted edges. (CF tags: constructive algorithms, dsu, math, sortings)</t>
  </si>
  <si>
    <t>959B - Mahmoud and Ehab and the message</t>
  </si>
  <si>
    <t>Dynamic connectivity - DSU merges groups as edges arrive; Kruskal is DSU + sorted edges. (CF tags: dsu, greedy, implementation)</t>
  </si>
  <si>
    <t>1638C - Inversion Graph</t>
  </si>
  <si>
    <t>Dynamic connectivity - DSU merges groups as edges arrive; Kruskal is DSU + sorted edges. (CF tags: data structures, dsu, graphs, math)</t>
  </si>
  <si>
    <t>1534C - Little Alawn's Puzzle</t>
  </si>
  <si>
    <t>Dynamic connectivity - DSU merges groups as edges arrive; Kruskal is DSU + sorted edges. (CF tags: combinatorics, dp, dsu, graphs, math)</t>
  </si>
  <si>
    <t>1726C - Jatayu's Balanced Bracket Sequence</t>
  </si>
  <si>
    <t>Dynamic connectivity - DSU merges groups as edges arrive; Kruskal is DSU + sorted edges. (CF tags: data structures, dsu, graphs, greedy)</t>
  </si>
  <si>
    <t>515B - Drazil and His Happy Friends</t>
  </si>
  <si>
    <t>Dynamic connectivity - DSU merges groups as edges arrive; Kruskal is DSU + sorted edges. (CF tags: brute force, dsu, meet-in-the-middle, number theory)</t>
  </si>
  <si>
    <t>1055B - Alice and Hairdresser</t>
  </si>
  <si>
    <t>Dynamic connectivity - DSU merges groups as edges arrive; Kruskal is DSU + sorted edges. (CF tags: dsu, implementation)</t>
  </si>
  <si>
    <t>277A - Learning Languages</t>
  </si>
  <si>
    <t>Dynamic connectivity - DSU merges groups as edges arrive; Kruskal is DSU + sorted edges. (CF tags: dfs and similar, dsu)</t>
  </si>
  <si>
    <t>1167C - News Distribution</t>
  </si>
  <si>
    <t>Dynamic connectivity - DSU merges groups as edges arrive; Kruskal is DSU + sorted edges. (CF tags: dfs and similar, dsu, graphs)</t>
  </si>
  <si>
    <t>1292A - NEKO's Maze Game</t>
  </si>
  <si>
    <t>Dynamic connectivity - DSU merges groups as edges arrive; Kruskal is DSU + sorted edges. (CF tags: data structures, dsu, implementation)</t>
  </si>
  <si>
    <t>Dijkstra: Shortest Reach 2</t>
  </si>
  <si>
    <t>1360E - Polygon</t>
  </si>
  <si>
    <t>Weighted shortest-path - greedy distance settling (Dijkstra) or its 0-1/BFS variants apply. (CF tags: dp, graphs, implementation, shortest paths)</t>
  </si>
  <si>
    <t>1661B - Getting Zero</t>
  </si>
  <si>
    <t>Weighted shortest-path - greedy distance settling (Dijkstra) or its 0-1/BFS variants apply. (CF tags: bitmasks, brute force, dfs and similar, dp, graphs, greedy, shortest paths)</t>
  </si>
  <si>
    <t>520B - Two Buttons</t>
  </si>
  <si>
    <t>Weighted shortest-path - greedy distance settling (Dijkstra) or its 0-1/BFS variants apply. (CF tags: dfs and similar, graphs, greedy, implementation, math, shortest paths)</t>
  </si>
  <si>
    <t>1540A - Great Graphs</t>
  </si>
  <si>
    <t>Weighted shortest-path - greedy distance settling (Dijkstra) or its 0-1/BFS variants apply. (CF tags: constructive algorithms, graphs, greedy, shortest paths, sortings)</t>
  </si>
  <si>
    <t>198B - Jumping on Walls</t>
  </si>
  <si>
    <t>Weighted shortest-path - greedy distance settling (Dijkstra) or its 0-1/BFS variants apply. (CF tags: shortest paths)</t>
  </si>
  <si>
    <t>1418C - Mortal Kombat Tower</t>
  </si>
  <si>
    <t>Weighted shortest-path - greedy distance settling (Dijkstra) or its 0-1/BFS variants apply. (CF tags: dp, graphs, greedy, shortest paths)</t>
  </si>
  <si>
    <t>1486B - Eastern Exhibition</t>
  </si>
  <si>
    <t>Weighted shortest-path - greedy distance settling (Dijkstra) or its 0-1/BFS variants apply. (CF tags: binary search, geometry, shortest paths, sortings)</t>
  </si>
  <si>
    <t>1106D - Lunar New Year and a Wander</t>
  </si>
  <si>
    <t>Weighted shortest-path - greedy distance settling (Dijkstra) or its 0-1/BFS variants apply. (CF tags: data structures, dfs and similar, graphs, greedy, shortest paths)</t>
  </si>
  <si>
    <t>1547E - Air Conditioners</t>
  </si>
  <si>
    <t>Weighted shortest-path - greedy distance settling (Dijkstra) or its 0-1/BFS variants apply. (CF tags: data structures, dp, implementation, shortest paths, sortings, two pointers)</t>
  </si>
  <si>
    <t>35C - Fire Again</t>
  </si>
  <si>
    <t>Weighted shortest-path - greedy distance settling (Dijkstra) or its 0-1/BFS variants apply. (CF tags: brute force, dfs and similar, shortest paths)</t>
  </si>
  <si>
    <t>329B - Biridian Forest</t>
  </si>
  <si>
    <t>Weighted shortest-path - greedy distance settling (Dijkstra) or its 0-1/BFS variants apply. (CF tags: dfs and similar, shortest paths)</t>
  </si>
  <si>
    <t>17B - Hierarchy</t>
  </si>
  <si>
    <t>Weighted shortest-path - greedy distance settling (Dijkstra) or its 0-1/BFS variants apply. (CF tags: dfs and similar, dsu, greedy, shortest paths)</t>
  </si>
  <si>
    <t>1437D - Minimal Height Tree</t>
  </si>
  <si>
    <t>Weighted shortest-path - greedy distance settling (Dijkstra) or its 0-1/BFS variants apply. (CF tags: graphs, greedy, shortest paths, trees)</t>
  </si>
  <si>
    <t>601A - The Two Routes</t>
  </si>
  <si>
    <t>Weighted shortest-path - greedy distance settling (Dijkstra) or its 0-1/BFS variants apply. (CF tags: graphs, shortest paths)</t>
  </si>
  <si>
    <t>1182A - Filling Shapes</t>
  </si>
  <si>
    <t>1D DP - dp[i] depends on a few earlier states; memoize instead of recomputing. (CF tags: dp, math)</t>
  </si>
  <si>
    <t>1469B - Red and Blue</t>
  </si>
  <si>
    <t>1D DP - dp[i] depends on a few earlier states; memoize instead of recomputing. (CF tags: dp, greedy)</t>
  </si>
  <si>
    <t>732B - Cormen --- The Best Friend Of a Man</t>
  </si>
  <si>
    <t>1829D - Gold Rush</t>
  </si>
  <si>
    <t>1D DP - dp[i] depends on a few earlier states; memoize instead of recomputing. (CF tags: brute force, dfs and similar, dp, implementation)</t>
  </si>
  <si>
    <t>1499B - Binary Removals</t>
  </si>
  <si>
    <t>1D DP - dp[i] depends on a few earlier states; memoize instead of recomputing. (CF tags: brute force, dp, greedy, implementation)</t>
  </si>
  <si>
    <t>1566C - MAX-MEX Cut</t>
  </si>
  <si>
    <t>1D DP - dp[i] depends on a few earlier states; memoize instead of recomputing. (CF tags: bitmasks, constructive algorithms, dp, greedy)</t>
  </si>
  <si>
    <t>1345B - Card Constructions</t>
  </si>
  <si>
    <t>1D DP - dp[i] depends on a few earlier states; memoize instead of recomputing. (CF tags: binary search, brute force, dp, math)</t>
  </si>
  <si>
    <t>1382B - Sequential Nim</t>
  </si>
  <si>
    <t>1D DP - dp[i] depends on a few earlier states; memoize instead of recomputing. (CF tags: dp, games)</t>
  </si>
  <si>
    <t>651A - Joysticks</t>
  </si>
  <si>
    <t>1D DP - dp[i] depends on a few earlier states; memoize instead of recomputing. (CF tags: dp, greedy, implementation, math)</t>
  </si>
  <si>
    <t>1631B - Fun with Even Subarrays</t>
  </si>
  <si>
    <t>1478B - Nezzar and Lucky Number</t>
  </si>
  <si>
    <t>1D DP - dp[i] depends on a few earlier states; memoize instead of recomputing. (CF tags: brute force, dp, greedy, math)</t>
  </si>
  <si>
    <t>Fibonacci Modified</t>
  </si>
  <si>
    <t>The Maximum Subarray</t>
  </si>
  <si>
    <t>Candies</t>
  </si>
  <si>
    <t>Equal</t>
  </si>
  <si>
    <t>The Coin Change Problem</t>
  </si>
  <si>
    <t>Stock Maximize</t>
  </si>
  <si>
    <t>Sam and Substrings</t>
  </si>
  <si>
    <t>Construct the Array</t>
  </si>
  <si>
    <t>Abbreviation</t>
  </si>
  <si>
    <t>189A - Cut Ribbon</t>
  </si>
  <si>
    <t>Multi-dimensional DP - the state needs two coordinates; capstone: justify the Big-O of every pattern learned. (CF tags: brute force, dp)</t>
  </si>
  <si>
    <t>476B - Dreamoon and WiFi</t>
  </si>
  <si>
    <t>Multi-dimensional DP - the state needs two coordinates; capstone: justify the Big-O of every pattern learned. (CF tags: bitmasks, brute force, combinatorics, dp, math, probabilities)</t>
  </si>
  <si>
    <t>1555C - Coin Rows</t>
  </si>
  <si>
    <t>Multi-dimensional DP - the state needs two coordinates; capstone: justify the Big-O of every pattern learned. (CF tags: brute force, constructive algorithms, dp, implementation)</t>
  </si>
  <si>
    <t>1285B - Just Eat It!</t>
  </si>
  <si>
    <t>Multi-dimensional DP - the state needs two coordinates; capstone: justify the Big-O of every pattern learned. (CF tags: dp, greedy, implementation)</t>
  </si>
  <si>
    <t>1618D - Array and Operations</t>
  </si>
  <si>
    <t>Multi-dimensional DP - the state needs two coordinates; capstone: justify the Big-O of every pattern learned. (CF tags: dp, greedy, math)</t>
  </si>
  <si>
    <t>1420C1 - Pokémon Army (easy version)</t>
  </si>
  <si>
    <t>Multi-dimensional DP - the state needs two coordinates; capstone: justify the Big-O of every pattern learned. (CF tags: constructive algorithms, dp, greedy)</t>
  </si>
  <si>
    <t>1443B - Saving the City</t>
  </si>
  <si>
    <t>Multi-dimensional DP - the state needs two coordinates; capstone: justify the Big-O of every pattern learned. (CF tags: dp, greedy, math, sortings)</t>
  </si>
  <si>
    <t>489C - Given Length and Sum of Digits...</t>
  </si>
  <si>
    <t>698A - Vacations</t>
  </si>
  <si>
    <t>Multi-dimensional DP - the state needs two coordinates; capstone: justify the Big-O of every pattern learned. (CF tags: dp)</t>
  </si>
  <si>
    <t>1526B - I Hate 1111</t>
  </si>
  <si>
    <t>Multi-dimensional DP - the state needs two coordinates; capstone: justify the Big-O of every pattern learned. (CF tags: dp, math, number theory)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</si>
</sst>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20"/>
      <color rgb="FF1F3864"/>
      <name val="Arial"/>
      <family val="2"/>
    </font>
    <font>
      <b/>
      <sz val="13"/>
      <color rgb="FF1F3864"/>
      <name val="Arial"/>
      <family val="2"/>
    </font>
    <font>
      <b/>
      <sz val="12"/>
      <color rgb="FFED7D31"/>
      <name val="Arial"/>
      <family val="2"/>
    </font>
    <font>
      <i/>
      <sz val="11"/>
      <color rgb="FFC00000"/>
      <name val="Arial"/>
      <family val="2"/>
    </font>
    <font>
      <b/>
      <sz val="10"/>
      <color rgb="FFFFFFFF"/>
      <name val="Arial"/>
      <family val="2"/>
    </font>
    <font>
      <b/>
      <sz val="12"/>
      <color rgb="FF1F386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color rgb="FFED7D31"/>
      <name val="Arial"/>
      <family val="2"/>
    </font>
    <font>
      <i/>
      <sz val="9"/>
      <color rgb="FF808080"/>
      <name val="Arial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1F3864"/>
        <bgColor rgb="FF1F3864"/>
      </patternFill>
    </fill>
    <fill>
      <patternFill patternType="solid">
        <fgColor rgb="FFF2F6FC"/>
        <bgColor rgb="FFF2F6FC"/>
      </patternFill>
    </fill>
    <fill>
      <patternFill patternType="solid">
        <fgColor rgb="FFFDF0E7"/>
        <bgColor rgb="FFFDF0E7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  <diagonal/>
    </border>
    <border>
      <left style="thin">
        <color rgb="FFB8C4D8"/>
      </left>
      <right/>
      <top style="thin">
        <color rgb="FFB8C4D8"/>
      </top>
      <bottom style="thin">
        <color rgb="FFB8C4D8"/>
      </bottom>
      <diagonal/>
    </border>
    <border>
      <left/>
      <right/>
      <top style="thin">
        <color rgb="FFB8C4D8"/>
      </top>
      <bottom style="thin">
        <color rgb="FFB8C4D8"/>
      </bottom>
      <diagonal/>
    </border>
    <border>
      <left/>
      <right style="thin">
        <color rgb="FFB8C4D8"/>
      </right>
      <top style="thin">
        <color rgb="FFB8C4D8"/>
      </top>
      <bottom style="thin">
        <color rgb="FFB8C4D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4" borderId="1" xfId="0" applyFont="1" applyFill="1" applyBorder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7" fillId="5" borderId="1" xfId="0" applyFont="1" applyFill="1" applyBorder="1"/>
    <xf numFmtId="0" fontId="8" fillId="4" borderId="1" xfId="0" applyFont="1" applyFill="1" applyBorder="1" applyAlignment="1">
      <alignment horizontal="left" vertical="center" wrapText="1"/>
    </xf>
    <xf numFmtId="0" fontId="8" fillId="4" borderId="1" xfId="0" quotePrefix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8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8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2" fillId="0" borderId="0" xfId="0" applyFont="1"/>
  </cellXfs>
  <cellStyles count="1">
    <cellStyle name="Normal" xfId="0" builtinId="0"/>
  </cellStyles>
  <dxfs count="3">
    <dxf>
      <font>
        <b/>
        <color rgb="FF1F3864"/>
      </font>
      <fill>
        <patternFill patternType="solid">
          <fgColor rgb="FFD9E1F2"/>
          <bgColor rgb="FFD9E1F2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deforces.com/problemset/problem/1374/C" TargetMode="External"/><Relationship Id="rId299" Type="http://schemas.openxmlformats.org/officeDocument/2006/relationships/hyperlink" Target="https://www.hackerrank.com/challenges/inserting-a-node-into-a-sorted-doubly-linked-list/problem" TargetMode="External"/><Relationship Id="rId21" Type="http://schemas.openxmlformats.org/officeDocument/2006/relationships/hyperlink" Target="https://codeforces.com/problemset/problem/363/B" TargetMode="External"/><Relationship Id="rId63" Type="http://schemas.openxmlformats.org/officeDocument/2006/relationships/hyperlink" Target="https://codeforces.com/problemset/problem/1354/B" TargetMode="External"/><Relationship Id="rId159" Type="http://schemas.openxmlformats.org/officeDocument/2006/relationships/hyperlink" Target="https://codeforces.com/problemset/problem/1419D/1" TargetMode="External"/><Relationship Id="rId324" Type="http://schemas.openxmlformats.org/officeDocument/2006/relationships/hyperlink" Target="https://codeforces.com/problemset/problem/1512/D" TargetMode="External"/><Relationship Id="rId366" Type="http://schemas.openxmlformats.org/officeDocument/2006/relationships/hyperlink" Target="https://www.hackerrank.com/challenges/tree-top-view/problem" TargetMode="External"/><Relationship Id="rId170" Type="http://schemas.openxmlformats.org/officeDocument/2006/relationships/hyperlink" Target="https://codeforces.com/problemset/problem/474/B" TargetMode="External"/><Relationship Id="rId226" Type="http://schemas.openxmlformats.org/officeDocument/2006/relationships/hyperlink" Target="https://www.hackerrank.com/challenges/leonardo-and-prime-factors/problem" TargetMode="External"/><Relationship Id="rId433" Type="http://schemas.openxmlformats.org/officeDocument/2006/relationships/hyperlink" Target="https://codeforces.com/problemset/problem/277/A" TargetMode="External"/><Relationship Id="rId268" Type="http://schemas.openxmlformats.org/officeDocument/2006/relationships/hyperlink" Target="https://www.hackerrank.com/challenges/recursive-digit-sum/problem" TargetMode="External"/><Relationship Id="rId475" Type="http://schemas.openxmlformats.org/officeDocument/2006/relationships/hyperlink" Target="https://codeforces.com/problemset/problem/1618/D" TargetMode="External"/><Relationship Id="rId32" Type="http://schemas.openxmlformats.org/officeDocument/2006/relationships/hyperlink" Target="https://codeforces.com/problemset/problem/1462/A" TargetMode="External"/><Relationship Id="rId74" Type="http://schemas.openxmlformats.org/officeDocument/2006/relationships/hyperlink" Target="https://codeforces.com/problemset/problem/6/C" TargetMode="External"/><Relationship Id="rId128" Type="http://schemas.openxmlformats.org/officeDocument/2006/relationships/hyperlink" Target="https://codeforces.com/problemset/problem/1676/B" TargetMode="External"/><Relationship Id="rId335" Type="http://schemas.openxmlformats.org/officeDocument/2006/relationships/hyperlink" Target="https://codeforces.com/problemset/problem/637/B" TargetMode="External"/><Relationship Id="rId377" Type="http://schemas.openxmlformats.org/officeDocument/2006/relationships/hyperlink" Target="https://www.hackerrank.com/challenges/binary-search-tree-lowest-common-ancestor/problem" TargetMode="External"/><Relationship Id="rId5" Type="http://schemas.openxmlformats.org/officeDocument/2006/relationships/hyperlink" Target="https://codeforces.com/problemset/problem/791/A" TargetMode="External"/><Relationship Id="rId181" Type="http://schemas.openxmlformats.org/officeDocument/2006/relationships/hyperlink" Target="https://codeforces.com/problemset/problem/231/A" TargetMode="External"/><Relationship Id="rId237" Type="http://schemas.openxmlformats.org/officeDocument/2006/relationships/hyperlink" Target="https://codeforces.com/problemset/problem/1411/B" TargetMode="External"/><Relationship Id="rId402" Type="http://schemas.openxmlformats.org/officeDocument/2006/relationships/hyperlink" Target="https://codeforces.com/problemset/problem/1647/B" TargetMode="External"/><Relationship Id="rId279" Type="http://schemas.openxmlformats.org/officeDocument/2006/relationships/hyperlink" Target="https://codeforces.com/problemset/problem/1772/C" TargetMode="External"/><Relationship Id="rId444" Type="http://schemas.openxmlformats.org/officeDocument/2006/relationships/hyperlink" Target="https://codeforces.com/problemset/problem/1106/D" TargetMode="External"/><Relationship Id="rId43" Type="http://schemas.openxmlformats.org/officeDocument/2006/relationships/hyperlink" Target="https://codeforces.com/problemset/problem/1359/B" TargetMode="External"/><Relationship Id="rId139" Type="http://schemas.openxmlformats.org/officeDocument/2006/relationships/hyperlink" Target="https://codeforces.com/problemset/problem/1335/C" TargetMode="External"/><Relationship Id="rId290" Type="http://schemas.openxmlformats.org/officeDocument/2006/relationships/hyperlink" Target="https://www.hackerrank.com/challenges/delete-a-node-from-a-linked-list/problem" TargetMode="External"/><Relationship Id="rId304" Type="http://schemas.openxmlformats.org/officeDocument/2006/relationships/hyperlink" Target="https://codeforces.com/problemset/problem/427/B" TargetMode="External"/><Relationship Id="rId346" Type="http://schemas.openxmlformats.org/officeDocument/2006/relationships/hyperlink" Target="https://www.hackerrank.com/challenges/qheap1/problem" TargetMode="External"/><Relationship Id="rId388" Type="http://schemas.openxmlformats.org/officeDocument/2006/relationships/hyperlink" Target="https://codeforces.com/problemset/problem/1830/A" TargetMode="External"/><Relationship Id="rId85" Type="http://schemas.openxmlformats.org/officeDocument/2006/relationships/hyperlink" Target="https://www.hackerrank.com/challenges/frequency-queries/problem" TargetMode="External"/><Relationship Id="rId150" Type="http://schemas.openxmlformats.org/officeDocument/2006/relationships/hyperlink" Target="https://www.hackerrank.com/challenges/ctci-merge-sort/problem" TargetMode="External"/><Relationship Id="rId192" Type="http://schemas.openxmlformats.org/officeDocument/2006/relationships/hyperlink" Target="https://www.hackerrank.com/challenges/jim-and-the-orders/problem" TargetMode="External"/><Relationship Id="rId206" Type="http://schemas.openxmlformats.org/officeDocument/2006/relationships/hyperlink" Target="https://www.hackerrank.com/challenges/greedy-florist/problem" TargetMode="External"/><Relationship Id="rId413" Type="http://schemas.openxmlformats.org/officeDocument/2006/relationships/hyperlink" Target="https://codeforces.com/problemset/problem/1669/G" TargetMode="External"/><Relationship Id="rId248" Type="http://schemas.openxmlformats.org/officeDocument/2006/relationships/hyperlink" Target="https://codeforces.com/problemset/problem/1566/B" TargetMode="External"/><Relationship Id="rId455" Type="http://schemas.openxmlformats.org/officeDocument/2006/relationships/hyperlink" Target="https://codeforces.com/problemset/problem/1499/B" TargetMode="External"/><Relationship Id="rId12" Type="http://schemas.openxmlformats.org/officeDocument/2006/relationships/hyperlink" Target="https://www.hackerrank.com/challenges/dynamic-array/problem" TargetMode="External"/><Relationship Id="rId108" Type="http://schemas.openxmlformats.org/officeDocument/2006/relationships/hyperlink" Target="https://www.hackerrank.com/challenges/alternating-characters/problem" TargetMode="External"/><Relationship Id="rId315" Type="http://schemas.openxmlformats.org/officeDocument/2006/relationships/hyperlink" Target="https://codeforces.com/problemset/problem/879/B" TargetMode="External"/><Relationship Id="rId357" Type="http://schemas.openxmlformats.org/officeDocument/2006/relationships/hyperlink" Target="https://codeforces.com/problemset/problem/1515/C" TargetMode="External"/><Relationship Id="rId54" Type="http://schemas.openxmlformats.org/officeDocument/2006/relationships/hyperlink" Target="https://codeforces.com/problemset/problem/1547/C" TargetMode="External"/><Relationship Id="rId96" Type="http://schemas.openxmlformats.org/officeDocument/2006/relationships/hyperlink" Target="https://codeforces.com/problemset/problem/59/A" TargetMode="External"/><Relationship Id="rId161" Type="http://schemas.openxmlformats.org/officeDocument/2006/relationships/hyperlink" Target="https://codeforces.com/problemset/problem/1195/B" TargetMode="External"/><Relationship Id="rId217" Type="http://schemas.openxmlformats.org/officeDocument/2006/relationships/hyperlink" Target="https://codeforces.com/problemset/problem/1335/A" TargetMode="External"/><Relationship Id="rId399" Type="http://schemas.openxmlformats.org/officeDocument/2006/relationships/hyperlink" Target="https://codeforces.com/problemset/problem/217/A" TargetMode="External"/><Relationship Id="rId259" Type="http://schemas.openxmlformats.org/officeDocument/2006/relationships/hyperlink" Target="https://codeforces.com/problemset/problem/1512/A" TargetMode="External"/><Relationship Id="rId424" Type="http://schemas.openxmlformats.org/officeDocument/2006/relationships/hyperlink" Target="https://www.hackerrank.com/challenges/kruskalmstrsub/problem" TargetMode="External"/><Relationship Id="rId466" Type="http://schemas.openxmlformats.org/officeDocument/2006/relationships/hyperlink" Target="https://www.hackerrank.com/challenges/coin-change/problem" TargetMode="External"/><Relationship Id="rId23" Type="http://schemas.openxmlformats.org/officeDocument/2006/relationships/hyperlink" Target="https://codeforces.com/problemset/problem/1324/C" TargetMode="External"/><Relationship Id="rId119" Type="http://schemas.openxmlformats.org/officeDocument/2006/relationships/hyperlink" Target="https://codeforces.com/problemset/problem/1473/B" TargetMode="External"/><Relationship Id="rId270" Type="http://schemas.openxmlformats.org/officeDocument/2006/relationships/hyperlink" Target="https://www.hackerrank.com/challenges/ctci-recursive-staircase/problem" TargetMode="External"/><Relationship Id="rId326" Type="http://schemas.openxmlformats.org/officeDocument/2006/relationships/hyperlink" Target="https://codeforces.com/problemset/problem/1730/C" TargetMode="External"/><Relationship Id="rId65" Type="http://schemas.openxmlformats.org/officeDocument/2006/relationships/hyperlink" Target="https://codeforces.com/problemset/problem/1364/A" TargetMode="External"/><Relationship Id="rId130" Type="http://schemas.openxmlformats.org/officeDocument/2006/relationships/hyperlink" Target="https://codeforces.com/problemset/problem/1850/A" TargetMode="External"/><Relationship Id="rId368" Type="http://schemas.openxmlformats.org/officeDocument/2006/relationships/hyperlink" Target="https://www.hackerrank.com/challenges/tree-huffman-decoding/problem" TargetMode="External"/><Relationship Id="rId172" Type="http://schemas.openxmlformats.org/officeDocument/2006/relationships/hyperlink" Target="https://codeforces.com/problemset/problem/1221/C" TargetMode="External"/><Relationship Id="rId228" Type="http://schemas.openxmlformats.org/officeDocument/2006/relationships/hyperlink" Target="https://codeforces.com/problemset/problem/742/A" TargetMode="External"/><Relationship Id="rId435" Type="http://schemas.openxmlformats.org/officeDocument/2006/relationships/hyperlink" Target="https://codeforces.com/problemset/problem/1292/A" TargetMode="External"/><Relationship Id="rId477" Type="http://schemas.openxmlformats.org/officeDocument/2006/relationships/hyperlink" Target="https://codeforces.com/problemset/problem/1443/B" TargetMode="External"/><Relationship Id="rId281" Type="http://schemas.openxmlformats.org/officeDocument/2006/relationships/hyperlink" Target="https://codeforces.com/problemset/problem/1579E/1" TargetMode="External"/><Relationship Id="rId337" Type="http://schemas.openxmlformats.org/officeDocument/2006/relationships/hyperlink" Target="https://codeforces.com/problemset/problem/4/C" TargetMode="External"/><Relationship Id="rId34" Type="http://schemas.openxmlformats.org/officeDocument/2006/relationships/hyperlink" Target="https://codeforces.com/problemset/problem/1843/A" TargetMode="External"/><Relationship Id="rId76" Type="http://schemas.openxmlformats.org/officeDocument/2006/relationships/hyperlink" Target="https://www.hackerrank.com/challenges/sock-merchant/problem" TargetMode="External"/><Relationship Id="rId141" Type="http://schemas.openxmlformats.org/officeDocument/2006/relationships/hyperlink" Target="https://codeforces.com/problemset/problem/1334/B" TargetMode="External"/><Relationship Id="rId379" Type="http://schemas.openxmlformats.org/officeDocument/2006/relationships/hyperlink" Target="https://www.hackerrank.com/challenges/swap-nodes-algo/problem" TargetMode="External"/><Relationship Id="rId7" Type="http://schemas.openxmlformats.org/officeDocument/2006/relationships/hyperlink" Target="https://codeforces.com/problemset/problem/977/A" TargetMode="External"/><Relationship Id="rId183" Type="http://schemas.openxmlformats.org/officeDocument/2006/relationships/hyperlink" Target="https://codeforces.com/problemset/problem/469/A" TargetMode="External"/><Relationship Id="rId239" Type="http://schemas.openxmlformats.org/officeDocument/2006/relationships/hyperlink" Target="https://codeforces.com/problemset/problem/1107/B" TargetMode="External"/><Relationship Id="rId390" Type="http://schemas.openxmlformats.org/officeDocument/2006/relationships/hyperlink" Target="https://codeforces.com/problemset/problem/981/C" TargetMode="External"/><Relationship Id="rId404" Type="http://schemas.openxmlformats.org/officeDocument/2006/relationships/hyperlink" Target="https://codeforces.com/problemset/problem/129/B" TargetMode="External"/><Relationship Id="rId446" Type="http://schemas.openxmlformats.org/officeDocument/2006/relationships/hyperlink" Target="https://codeforces.com/problemset/problem/35/C" TargetMode="External"/><Relationship Id="rId250" Type="http://schemas.openxmlformats.org/officeDocument/2006/relationships/hyperlink" Target="https://www.hackerrank.com/challenges/flipping-bits/problem" TargetMode="External"/><Relationship Id="rId292" Type="http://schemas.openxmlformats.org/officeDocument/2006/relationships/hyperlink" Target="https://www.hackerrank.com/challenges/reverse-a-linked-list/problem" TargetMode="External"/><Relationship Id="rId306" Type="http://schemas.openxmlformats.org/officeDocument/2006/relationships/hyperlink" Target="https://codeforces.com/problemset/problem/834/B" TargetMode="External"/><Relationship Id="rId45" Type="http://schemas.openxmlformats.org/officeDocument/2006/relationships/hyperlink" Target="https://www.hackerrank.com/challenges/pairs/problem" TargetMode="External"/><Relationship Id="rId87" Type="http://schemas.openxmlformats.org/officeDocument/2006/relationships/hyperlink" Target="https://www.hackerrank.com/challenges/sherlock-and-anagrams/problem" TargetMode="External"/><Relationship Id="rId110" Type="http://schemas.openxmlformats.org/officeDocument/2006/relationships/hyperlink" Target="https://www.hackerrank.com/challenges/the-love-letter-mystery/problem" TargetMode="External"/><Relationship Id="rId348" Type="http://schemas.openxmlformats.org/officeDocument/2006/relationships/hyperlink" Target="https://codeforces.com/problemset/problem/777/B" TargetMode="External"/><Relationship Id="rId152" Type="http://schemas.openxmlformats.org/officeDocument/2006/relationships/hyperlink" Target="https://codeforces.com/problemset/problem/1611/B" TargetMode="External"/><Relationship Id="rId194" Type="http://schemas.openxmlformats.org/officeDocument/2006/relationships/hyperlink" Target="https://www.hackerrank.com/challenges/maximum-perimeter-triangle/problem" TargetMode="External"/><Relationship Id="rId208" Type="http://schemas.openxmlformats.org/officeDocument/2006/relationships/hyperlink" Target="https://codeforces.com/problemset/problem/1355/B" TargetMode="External"/><Relationship Id="rId415" Type="http://schemas.openxmlformats.org/officeDocument/2006/relationships/hyperlink" Target="https://codeforces.com/problemset/problem/893/C" TargetMode="External"/><Relationship Id="rId457" Type="http://schemas.openxmlformats.org/officeDocument/2006/relationships/hyperlink" Target="https://codeforces.com/problemset/problem/1345/B" TargetMode="External"/><Relationship Id="rId261" Type="http://schemas.openxmlformats.org/officeDocument/2006/relationships/hyperlink" Target="https://codeforces.com/problemset/problem/80/A" TargetMode="External"/><Relationship Id="rId14" Type="http://schemas.openxmlformats.org/officeDocument/2006/relationships/hyperlink" Target="https://www.hackerrank.com/challenges/minimum-distances/problem" TargetMode="External"/><Relationship Id="rId56" Type="http://schemas.openxmlformats.org/officeDocument/2006/relationships/hyperlink" Target="https://codeforces.com/problemset/problem/1656/B" TargetMode="External"/><Relationship Id="rId317" Type="http://schemas.openxmlformats.org/officeDocument/2006/relationships/hyperlink" Target="https://codeforces.com/problemset/problem/1428/C" TargetMode="External"/><Relationship Id="rId359" Type="http://schemas.openxmlformats.org/officeDocument/2006/relationships/hyperlink" Target="https://www.hackerrank.com/challenges/find-the-running-median/problem" TargetMode="External"/><Relationship Id="rId98" Type="http://schemas.openxmlformats.org/officeDocument/2006/relationships/hyperlink" Target="https://codeforces.com/problemset/problem/41/A" TargetMode="External"/><Relationship Id="rId121" Type="http://schemas.openxmlformats.org/officeDocument/2006/relationships/hyperlink" Target="https://codeforces.com/problemset/problem/723/A" TargetMode="External"/><Relationship Id="rId163" Type="http://schemas.openxmlformats.org/officeDocument/2006/relationships/hyperlink" Target="https://codeforces.com/problemset/problem/706/B" TargetMode="External"/><Relationship Id="rId219" Type="http://schemas.openxmlformats.org/officeDocument/2006/relationships/hyperlink" Target="https://codeforces.com/problemset/problem/581/A" TargetMode="External"/><Relationship Id="rId370" Type="http://schemas.openxmlformats.org/officeDocument/2006/relationships/hyperlink" Target="https://codeforces.com/problemset/problem/913/B" TargetMode="External"/><Relationship Id="rId426" Type="http://schemas.openxmlformats.org/officeDocument/2006/relationships/hyperlink" Target="https://codeforces.com/problemset/problem/1592/B" TargetMode="External"/><Relationship Id="rId230" Type="http://schemas.openxmlformats.org/officeDocument/2006/relationships/hyperlink" Target="https://codeforces.com/problemset/problem/1521/A" TargetMode="External"/><Relationship Id="rId468" Type="http://schemas.openxmlformats.org/officeDocument/2006/relationships/hyperlink" Target="https://www.hackerrank.com/challenges/sam-and-substrings/problem" TargetMode="External"/><Relationship Id="rId25" Type="http://schemas.openxmlformats.org/officeDocument/2006/relationships/hyperlink" Target="https://codeforces.com/problemset/problem/961/B" TargetMode="External"/><Relationship Id="rId67" Type="http://schemas.openxmlformats.org/officeDocument/2006/relationships/hyperlink" Target="https://codeforces.com/problemset/problem/1006/C" TargetMode="External"/><Relationship Id="rId272" Type="http://schemas.openxmlformats.org/officeDocument/2006/relationships/hyperlink" Target="https://codeforces.com/problemset/problem/688/B" TargetMode="External"/><Relationship Id="rId328" Type="http://schemas.openxmlformats.org/officeDocument/2006/relationships/hyperlink" Target="https://codeforces.com/problemset/problem/1848/B" TargetMode="External"/><Relationship Id="rId132" Type="http://schemas.openxmlformats.org/officeDocument/2006/relationships/hyperlink" Target="https://www.hackerrank.com/challenges/closest-numbers/problem" TargetMode="External"/><Relationship Id="rId174" Type="http://schemas.openxmlformats.org/officeDocument/2006/relationships/hyperlink" Target="https://codeforces.com/problemset/problem/1671/C" TargetMode="External"/><Relationship Id="rId381" Type="http://schemas.openxmlformats.org/officeDocument/2006/relationships/hyperlink" Target="https://codeforces.com/problemset/problem/1676/G" TargetMode="External"/><Relationship Id="rId241" Type="http://schemas.openxmlformats.org/officeDocument/2006/relationships/hyperlink" Target="https://codeforces.com/problemset/problem/1527/A" TargetMode="External"/><Relationship Id="rId437" Type="http://schemas.openxmlformats.org/officeDocument/2006/relationships/hyperlink" Target="https://codeforces.com/problemset/problem/1360/E" TargetMode="External"/><Relationship Id="rId479" Type="http://schemas.openxmlformats.org/officeDocument/2006/relationships/hyperlink" Target="https://codeforces.com/problemset/problem/698/A" TargetMode="External"/><Relationship Id="rId36" Type="http://schemas.openxmlformats.org/officeDocument/2006/relationships/hyperlink" Target="https://codeforces.com/problemset/problem/1843/B" TargetMode="External"/><Relationship Id="rId283" Type="http://schemas.openxmlformats.org/officeDocument/2006/relationships/hyperlink" Target="https://codeforces.com/problemset/problem/1632/B" TargetMode="External"/><Relationship Id="rId339" Type="http://schemas.openxmlformats.org/officeDocument/2006/relationships/hyperlink" Target="https://codeforces.com/problemset/problem/1234B/2" TargetMode="External"/><Relationship Id="rId78" Type="http://schemas.openxmlformats.org/officeDocument/2006/relationships/hyperlink" Target="https://www.hackerrank.com/challenges/ctci-ransom-note/problem" TargetMode="External"/><Relationship Id="rId101" Type="http://schemas.openxmlformats.org/officeDocument/2006/relationships/hyperlink" Target="https://www.hackerrank.com/challenges/camelcase/problem" TargetMode="External"/><Relationship Id="rId143" Type="http://schemas.openxmlformats.org/officeDocument/2006/relationships/hyperlink" Target="https://codeforces.com/problemset/problem/1791/E" TargetMode="External"/><Relationship Id="rId185" Type="http://schemas.openxmlformats.org/officeDocument/2006/relationships/hyperlink" Target="https://codeforces.com/problemset/problem/1367/B" TargetMode="External"/><Relationship Id="rId350" Type="http://schemas.openxmlformats.org/officeDocument/2006/relationships/hyperlink" Target="https://codeforces.com/problemset/problem/572/B" TargetMode="External"/><Relationship Id="rId406" Type="http://schemas.openxmlformats.org/officeDocument/2006/relationships/hyperlink" Target="https://codeforces.com/problemset/problem/1623/B" TargetMode="External"/><Relationship Id="rId9" Type="http://schemas.openxmlformats.org/officeDocument/2006/relationships/hyperlink" Target="https://www.hackerrank.com/challenges/arrays-ds/problem" TargetMode="External"/><Relationship Id="rId210" Type="http://schemas.openxmlformats.org/officeDocument/2006/relationships/hyperlink" Target="https://codeforces.com/problemset/problem/285/C" TargetMode="External"/><Relationship Id="rId392" Type="http://schemas.openxmlformats.org/officeDocument/2006/relationships/hyperlink" Target="https://codeforces.com/problemset/problem/1020/B" TargetMode="External"/><Relationship Id="rId448" Type="http://schemas.openxmlformats.org/officeDocument/2006/relationships/hyperlink" Target="https://codeforces.com/problemset/problem/17/B" TargetMode="External"/><Relationship Id="rId252" Type="http://schemas.openxmlformats.org/officeDocument/2006/relationships/hyperlink" Target="https://www.hackerrank.com/challenges/sum-vs-xor/problem" TargetMode="External"/><Relationship Id="rId294" Type="http://schemas.openxmlformats.org/officeDocument/2006/relationships/hyperlink" Target="https://www.hackerrank.com/challenges/merge-two-sorted-linked-lists/problem" TargetMode="External"/><Relationship Id="rId308" Type="http://schemas.openxmlformats.org/officeDocument/2006/relationships/hyperlink" Target="https://www.hackerrank.com/challenges/simple-text-editor/problem" TargetMode="External"/><Relationship Id="rId47" Type="http://schemas.openxmlformats.org/officeDocument/2006/relationships/hyperlink" Target="https://codeforces.com/problemset/problem/978/C" TargetMode="External"/><Relationship Id="rId89" Type="http://schemas.openxmlformats.org/officeDocument/2006/relationships/hyperlink" Target="https://codeforces.com/problemset/problem/1800/D" TargetMode="External"/><Relationship Id="rId112" Type="http://schemas.openxmlformats.org/officeDocument/2006/relationships/hyperlink" Target="https://www.hackerrank.com/challenges/game-of-thrones/problem" TargetMode="External"/><Relationship Id="rId154" Type="http://schemas.openxmlformats.org/officeDocument/2006/relationships/hyperlink" Target="https://codeforces.com/problemset/problem/1592/A" TargetMode="External"/><Relationship Id="rId361" Type="http://schemas.openxmlformats.org/officeDocument/2006/relationships/hyperlink" Target="https://www.hackerrank.com/challenges/tree-preorder-traversal/problem" TargetMode="External"/><Relationship Id="rId196" Type="http://schemas.openxmlformats.org/officeDocument/2006/relationships/hyperlink" Target="https://www.hackerrank.com/challenges/largest-permutation/problem" TargetMode="External"/><Relationship Id="rId417" Type="http://schemas.openxmlformats.org/officeDocument/2006/relationships/hyperlink" Target="https://codeforces.com/problemset/problem/1829/F" TargetMode="External"/><Relationship Id="rId459" Type="http://schemas.openxmlformats.org/officeDocument/2006/relationships/hyperlink" Target="https://codeforces.com/problemset/problem/651/A" TargetMode="External"/><Relationship Id="rId16" Type="http://schemas.openxmlformats.org/officeDocument/2006/relationships/hyperlink" Target="https://www.hackerrank.com/challenges/sherlock-and-array/problem" TargetMode="External"/><Relationship Id="rId221" Type="http://schemas.openxmlformats.org/officeDocument/2006/relationships/hyperlink" Target="https://codeforces.com/problemset/problem/1154/A" TargetMode="External"/><Relationship Id="rId263" Type="http://schemas.openxmlformats.org/officeDocument/2006/relationships/hyperlink" Target="https://codeforces.com/problemset/problem/1520/B" TargetMode="External"/><Relationship Id="rId319" Type="http://schemas.openxmlformats.org/officeDocument/2006/relationships/hyperlink" Target="https://codeforces.com/problemset/problem/1492/B" TargetMode="External"/><Relationship Id="rId470" Type="http://schemas.openxmlformats.org/officeDocument/2006/relationships/hyperlink" Target="https://www.hackerrank.com/challenges/abbreviation/problem" TargetMode="External"/><Relationship Id="rId58" Type="http://schemas.openxmlformats.org/officeDocument/2006/relationships/hyperlink" Target="https://codeforces.com/problemset/problem/1741/C" TargetMode="External"/><Relationship Id="rId123" Type="http://schemas.openxmlformats.org/officeDocument/2006/relationships/hyperlink" Target="https://codeforces.com/problemset/problem/432/A" TargetMode="External"/><Relationship Id="rId330" Type="http://schemas.openxmlformats.org/officeDocument/2006/relationships/hyperlink" Target="https://www.hackerrank.com/challenges/truck-tour/problem" TargetMode="External"/><Relationship Id="rId165" Type="http://schemas.openxmlformats.org/officeDocument/2006/relationships/hyperlink" Target="https://www.hackerrank.com/challenges/ctci-ice-cream-parlor/problem" TargetMode="External"/><Relationship Id="rId372" Type="http://schemas.openxmlformats.org/officeDocument/2006/relationships/hyperlink" Target="https://codeforces.com/problemset/problem/1583/B" TargetMode="External"/><Relationship Id="rId428" Type="http://schemas.openxmlformats.org/officeDocument/2006/relationships/hyperlink" Target="https://codeforces.com/problemset/problem/1638/C" TargetMode="External"/><Relationship Id="rId232" Type="http://schemas.openxmlformats.org/officeDocument/2006/relationships/hyperlink" Target="https://codeforces.com/problemset/problem/766/B" TargetMode="External"/><Relationship Id="rId274" Type="http://schemas.openxmlformats.org/officeDocument/2006/relationships/hyperlink" Target="https://codeforces.com/problemset/problem/1469/A" TargetMode="External"/><Relationship Id="rId27" Type="http://schemas.openxmlformats.org/officeDocument/2006/relationships/hyperlink" Target="https://codeforces.com/problemset/problem/816/B" TargetMode="External"/><Relationship Id="rId69" Type="http://schemas.openxmlformats.org/officeDocument/2006/relationships/hyperlink" Target="https://codeforces.com/problemset/problem/1692/E" TargetMode="External"/><Relationship Id="rId134" Type="http://schemas.openxmlformats.org/officeDocument/2006/relationships/hyperlink" Target="https://www.hackerrank.com/challenges/insertionsort2/problem" TargetMode="External"/><Relationship Id="rId80" Type="http://schemas.openxmlformats.org/officeDocument/2006/relationships/hyperlink" Target="https://codeforces.com/problemset/problem/1800C/1" TargetMode="External"/><Relationship Id="rId176" Type="http://schemas.openxmlformats.org/officeDocument/2006/relationships/hyperlink" Target="https://codeforces.com/problemset/problem/1328/B" TargetMode="External"/><Relationship Id="rId341" Type="http://schemas.openxmlformats.org/officeDocument/2006/relationships/hyperlink" Target="https://codeforces.com/problemset/problem/1498/B" TargetMode="External"/><Relationship Id="rId383" Type="http://schemas.openxmlformats.org/officeDocument/2006/relationships/hyperlink" Target="https://codeforces.com/problemset/problem/755/C" TargetMode="External"/><Relationship Id="rId439" Type="http://schemas.openxmlformats.org/officeDocument/2006/relationships/hyperlink" Target="https://codeforces.com/problemset/problem/520/B" TargetMode="External"/><Relationship Id="rId201" Type="http://schemas.openxmlformats.org/officeDocument/2006/relationships/hyperlink" Target="https://codeforces.com/problemset/problem/1807G/1" TargetMode="External"/><Relationship Id="rId243" Type="http://schemas.openxmlformats.org/officeDocument/2006/relationships/hyperlink" Target="https://codeforces.com/problemset/problem/1698/A" TargetMode="External"/><Relationship Id="rId285" Type="http://schemas.openxmlformats.org/officeDocument/2006/relationships/hyperlink" Target="https://www.hackerrank.com/challenges/crossword-puzzle/problem" TargetMode="External"/><Relationship Id="rId450" Type="http://schemas.openxmlformats.org/officeDocument/2006/relationships/hyperlink" Target="https://codeforces.com/problemset/problem/601/A" TargetMode="External"/><Relationship Id="rId38" Type="http://schemas.openxmlformats.org/officeDocument/2006/relationships/hyperlink" Target="https://codeforces.com/problemset/problem/1646/B" TargetMode="External"/><Relationship Id="rId103" Type="http://schemas.openxmlformats.org/officeDocument/2006/relationships/hyperlink" Target="https://www.hackerrank.com/challenges/caesar-cipher-1/problem" TargetMode="External"/><Relationship Id="rId310" Type="http://schemas.openxmlformats.org/officeDocument/2006/relationships/hyperlink" Target="https://www.hackerrank.com/challenges/waiter/problem" TargetMode="External"/><Relationship Id="rId91" Type="http://schemas.openxmlformats.org/officeDocument/2006/relationships/hyperlink" Target="https://codeforces.com/problemset/problem/71/A" TargetMode="External"/><Relationship Id="rId145" Type="http://schemas.openxmlformats.org/officeDocument/2006/relationships/hyperlink" Target="https://codeforces.com/problemset/problem/1722/D" TargetMode="External"/><Relationship Id="rId187" Type="http://schemas.openxmlformats.org/officeDocument/2006/relationships/hyperlink" Target="https://codeforces.com/problemset/problem/1370/A" TargetMode="External"/><Relationship Id="rId352" Type="http://schemas.openxmlformats.org/officeDocument/2006/relationships/hyperlink" Target="https://codeforces.com/problemset/problem/1365/C" TargetMode="External"/><Relationship Id="rId394" Type="http://schemas.openxmlformats.org/officeDocument/2006/relationships/hyperlink" Target="https://codeforces.com/problemset/problem/1829/E" TargetMode="External"/><Relationship Id="rId408" Type="http://schemas.openxmlformats.org/officeDocument/2006/relationships/hyperlink" Target="https://www.hackerrank.com/challenges/torque-and-development/problem" TargetMode="External"/><Relationship Id="rId212" Type="http://schemas.openxmlformats.org/officeDocument/2006/relationships/hyperlink" Target="https://codeforces.com/problemset/problem/617/A" TargetMode="External"/><Relationship Id="rId254" Type="http://schemas.openxmlformats.org/officeDocument/2006/relationships/hyperlink" Target="https://www.hackerrank.com/challenges/counter-game/problem" TargetMode="External"/><Relationship Id="rId49" Type="http://schemas.openxmlformats.org/officeDocument/2006/relationships/hyperlink" Target="https://codeforces.com/problemset/problem/1840/C" TargetMode="External"/><Relationship Id="rId114" Type="http://schemas.openxmlformats.org/officeDocument/2006/relationships/hyperlink" Target="https://codeforces.com/problemset/problem/58/A" TargetMode="External"/><Relationship Id="rId296" Type="http://schemas.openxmlformats.org/officeDocument/2006/relationships/hyperlink" Target="https://www.hackerrank.com/challenges/delete-duplicate-value-nodes-from-a-sorted-linked-list/problem" TargetMode="External"/><Relationship Id="rId461" Type="http://schemas.openxmlformats.org/officeDocument/2006/relationships/hyperlink" Target="https://codeforces.com/problemset/problem/1478/B" TargetMode="External"/><Relationship Id="rId60" Type="http://schemas.openxmlformats.org/officeDocument/2006/relationships/hyperlink" Target="https://www.hackerrank.com/challenges/queries-with-fixed-length/problem" TargetMode="External"/><Relationship Id="rId156" Type="http://schemas.openxmlformats.org/officeDocument/2006/relationships/hyperlink" Target="https://codeforces.com/problemset/problem/1138/A" TargetMode="External"/><Relationship Id="rId198" Type="http://schemas.openxmlformats.org/officeDocument/2006/relationships/hyperlink" Target="https://www.hackerrank.com/challenges/marcs-cakewalk/problem" TargetMode="External"/><Relationship Id="rId321" Type="http://schemas.openxmlformats.org/officeDocument/2006/relationships/hyperlink" Target="https://codeforces.com/problemset/problem/1566D/1" TargetMode="External"/><Relationship Id="rId363" Type="http://schemas.openxmlformats.org/officeDocument/2006/relationships/hyperlink" Target="https://www.hackerrank.com/challenges/tree-inorder-traversal/problem" TargetMode="External"/><Relationship Id="rId419" Type="http://schemas.openxmlformats.org/officeDocument/2006/relationships/hyperlink" Target="https://codeforces.com/problemset/problem/1152/B" TargetMode="External"/><Relationship Id="rId223" Type="http://schemas.openxmlformats.org/officeDocument/2006/relationships/hyperlink" Target="https://codeforces.com/problemset/problem/758/A" TargetMode="External"/><Relationship Id="rId430" Type="http://schemas.openxmlformats.org/officeDocument/2006/relationships/hyperlink" Target="https://codeforces.com/problemset/problem/1726/C" TargetMode="External"/><Relationship Id="rId18" Type="http://schemas.openxmlformats.org/officeDocument/2006/relationships/hyperlink" Target="https://codeforces.com/problemset/problem/1430/C" TargetMode="External"/><Relationship Id="rId265" Type="http://schemas.openxmlformats.org/officeDocument/2006/relationships/hyperlink" Target="https://codeforces.com/problemset/problem/509/A" TargetMode="External"/><Relationship Id="rId472" Type="http://schemas.openxmlformats.org/officeDocument/2006/relationships/hyperlink" Target="https://codeforces.com/problemset/problem/476/B" TargetMode="External"/><Relationship Id="rId125" Type="http://schemas.openxmlformats.org/officeDocument/2006/relationships/hyperlink" Target="https://codeforces.com/problemset/problem/1353/B" TargetMode="External"/><Relationship Id="rId167" Type="http://schemas.openxmlformats.org/officeDocument/2006/relationships/hyperlink" Target="https://www.hackerrank.com/challenges/hackerland-radio-transmitters/problem" TargetMode="External"/><Relationship Id="rId332" Type="http://schemas.openxmlformats.org/officeDocument/2006/relationships/hyperlink" Target="https://www.hackerrank.com/challenges/queue-using-two-stacks/problem" TargetMode="External"/><Relationship Id="rId374" Type="http://schemas.openxmlformats.org/officeDocument/2006/relationships/hyperlink" Target="https://codeforces.com/problemset/problem/862/B" TargetMode="External"/><Relationship Id="rId71" Type="http://schemas.openxmlformats.org/officeDocument/2006/relationships/hyperlink" Target="https://codeforces.com/problemset/problem/1257/C" TargetMode="External"/><Relationship Id="rId234" Type="http://schemas.openxmlformats.org/officeDocument/2006/relationships/hyperlink" Target="https://codeforces.com/problemset/problem/1485/A" TargetMode="External"/><Relationship Id="rId2" Type="http://schemas.openxmlformats.org/officeDocument/2006/relationships/hyperlink" Target="https://codeforces.com/problemset/problem/282/A" TargetMode="External"/><Relationship Id="rId29" Type="http://schemas.openxmlformats.org/officeDocument/2006/relationships/hyperlink" Target="https://codeforces.com/problemset/problem/276/C" TargetMode="External"/><Relationship Id="rId276" Type="http://schemas.openxmlformats.org/officeDocument/2006/relationships/hyperlink" Target="https://codeforces.com/problemset/problem/1333/A" TargetMode="External"/><Relationship Id="rId441" Type="http://schemas.openxmlformats.org/officeDocument/2006/relationships/hyperlink" Target="https://codeforces.com/problemset/problem/198/B" TargetMode="External"/><Relationship Id="rId40" Type="http://schemas.openxmlformats.org/officeDocument/2006/relationships/hyperlink" Target="https://codeforces.com/problemset/problem/1689/A" TargetMode="External"/><Relationship Id="rId136" Type="http://schemas.openxmlformats.org/officeDocument/2006/relationships/hyperlink" Target="https://www.hackerrank.com/challenges/countingsort2/problem" TargetMode="External"/><Relationship Id="rId178" Type="http://schemas.openxmlformats.org/officeDocument/2006/relationships/hyperlink" Target="https://codeforces.com/problemset/problem/600/B" TargetMode="External"/><Relationship Id="rId301" Type="http://schemas.openxmlformats.org/officeDocument/2006/relationships/hyperlink" Target="https://www.hackerrank.com/challenges/maximum-element/problem" TargetMode="External"/><Relationship Id="rId343" Type="http://schemas.openxmlformats.org/officeDocument/2006/relationships/hyperlink" Target="https://codeforces.com/problemset/problem/1237/B" TargetMode="External"/><Relationship Id="rId82" Type="http://schemas.openxmlformats.org/officeDocument/2006/relationships/hyperlink" Target="https://codeforces.com/problemset/problem/1438/B" TargetMode="External"/><Relationship Id="rId203" Type="http://schemas.openxmlformats.org/officeDocument/2006/relationships/hyperlink" Target="https://codeforces.com/problemset/problem/1625/B" TargetMode="External"/><Relationship Id="rId385" Type="http://schemas.openxmlformats.org/officeDocument/2006/relationships/hyperlink" Target="https://codeforces.com/problemset/problem/886/C" TargetMode="External"/><Relationship Id="rId245" Type="http://schemas.openxmlformats.org/officeDocument/2006/relationships/hyperlink" Target="https://codeforces.com/problemset/problem/1829/C" TargetMode="External"/><Relationship Id="rId287" Type="http://schemas.openxmlformats.org/officeDocument/2006/relationships/hyperlink" Target="https://www.hackerrank.com/challenges/insert-a-node-at-the-tail-of-a-linked-list/problem" TargetMode="External"/><Relationship Id="rId410" Type="http://schemas.openxmlformats.org/officeDocument/2006/relationships/hyperlink" Target="https://codeforces.com/problemset/problem/1433/D" TargetMode="External"/><Relationship Id="rId452" Type="http://schemas.openxmlformats.org/officeDocument/2006/relationships/hyperlink" Target="https://codeforces.com/problemset/problem/1469/B" TargetMode="External"/><Relationship Id="rId105" Type="http://schemas.openxmlformats.org/officeDocument/2006/relationships/hyperlink" Target="https://www.hackerrank.com/challenges/hackerrank-in-a-string/problem" TargetMode="External"/><Relationship Id="rId147" Type="http://schemas.openxmlformats.org/officeDocument/2006/relationships/hyperlink" Target="https://codeforces.com/problemset/problem/1638/B" TargetMode="External"/><Relationship Id="rId312" Type="http://schemas.openxmlformats.org/officeDocument/2006/relationships/hyperlink" Target="https://codeforces.com/problemset/problem/1104/B" TargetMode="External"/><Relationship Id="rId354" Type="http://schemas.openxmlformats.org/officeDocument/2006/relationships/hyperlink" Target="https://codeforces.com/problemset/problem/1506/D" TargetMode="External"/><Relationship Id="rId51" Type="http://schemas.openxmlformats.org/officeDocument/2006/relationships/hyperlink" Target="https://codeforces.com/problemset/problem/1691/B" TargetMode="External"/><Relationship Id="rId72" Type="http://schemas.openxmlformats.org/officeDocument/2006/relationships/hyperlink" Target="https://codeforces.com/problemset/problem/1793/C" TargetMode="External"/><Relationship Id="rId93" Type="http://schemas.openxmlformats.org/officeDocument/2006/relationships/hyperlink" Target="https://codeforces.com/problemset/problem/339/A" TargetMode="External"/><Relationship Id="rId189" Type="http://schemas.openxmlformats.org/officeDocument/2006/relationships/hyperlink" Target="https://codeforces.com/problemset/problem/749/A" TargetMode="External"/><Relationship Id="rId375" Type="http://schemas.openxmlformats.org/officeDocument/2006/relationships/hyperlink" Target="https://codeforces.com/problemset/problem/1741/D" TargetMode="External"/><Relationship Id="rId396" Type="http://schemas.openxmlformats.org/officeDocument/2006/relationships/hyperlink" Target="https://www.hackerrank.com/challenges/bfsshortreach/problem" TargetMode="External"/><Relationship Id="rId3" Type="http://schemas.openxmlformats.org/officeDocument/2006/relationships/hyperlink" Target="https://codeforces.com/problemset/problem/263/A" TargetMode="External"/><Relationship Id="rId214" Type="http://schemas.openxmlformats.org/officeDocument/2006/relationships/hyperlink" Target="https://codeforces.com/problemset/problem/200/B" TargetMode="External"/><Relationship Id="rId235" Type="http://schemas.openxmlformats.org/officeDocument/2006/relationships/hyperlink" Target="https://codeforces.com/problemset/problem/1562/B" TargetMode="External"/><Relationship Id="rId256" Type="http://schemas.openxmlformats.org/officeDocument/2006/relationships/hyperlink" Target="https://codeforces.com/problemset/problem/271/A" TargetMode="External"/><Relationship Id="rId277" Type="http://schemas.openxmlformats.org/officeDocument/2006/relationships/hyperlink" Target="https://codeforces.com/problemset/problem/1312/B" TargetMode="External"/><Relationship Id="rId298" Type="http://schemas.openxmlformats.org/officeDocument/2006/relationships/hyperlink" Target="https://www.hackerrank.com/challenges/find-the-merge-point-of-two-joined-linked-lists/problem" TargetMode="External"/><Relationship Id="rId400" Type="http://schemas.openxmlformats.org/officeDocument/2006/relationships/hyperlink" Target="https://codeforces.com/problemset/problem/1559/C" TargetMode="External"/><Relationship Id="rId421" Type="http://schemas.openxmlformats.org/officeDocument/2006/relationships/hyperlink" Target="https://codeforces.com/problemset/problem/501/B" TargetMode="External"/><Relationship Id="rId442" Type="http://schemas.openxmlformats.org/officeDocument/2006/relationships/hyperlink" Target="https://codeforces.com/problemset/problem/1418/C" TargetMode="External"/><Relationship Id="rId463" Type="http://schemas.openxmlformats.org/officeDocument/2006/relationships/hyperlink" Target="https://www.hackerrank.com/challenges/maxsubarray/problem" TargetMode="External"/><Relationship Id="rId116" Type="http://schemas.openxmlformats.org/officeDocument/2006/relationships/hyperlink" Target="https://codeforces.com/problemset/problem/43/A" TargetMode="External"/><Relationship Id="rId137" Type="http://schemas.openxmlformats.org/officeDocument/2006/relationships/hyperlink" Target="https://www.hackerrank.com/challenges/find-the-median/problem" TargetMode="External"/><Relationship Id="rId158" Type="http://schemas.openxmlformats.org/officeDocument/2006/relationships/hyperlink" Target="https://codeforces.com/problemset/problem/1474/B" TargetMode="External"/><Relationship Id="rId302" Type="http://schemas.openxmlformats.org/officeDocument/2006/relationships/hyperlink" Target="https://www.hackerrank.com/challenges/equal-stacks/problem" TargetMode="External"/><Relationship Id="rId323" Type="http://schemas.openxmlformats.org/officeDocument/2006/relationships/hyperlink" Target="https://www.hackerrank.com/challenges/largest-rectangle/problem" TargetMode="External"/><Relationship Id="rId344" Type="http://schemas.openxmlformats.org/officeDocument/2006/relationships/hyperlink" Target="https://codeforces.com/problemset/problem/1736C/1" TargetMode="External"/><Relationship Id="rId20" Type="http://schemas.openxmlformats.org/officeDocument/2006/relationships/hyperlink" Target="https://codeforces.com/problemset/problem/313/B" TargetMode="External"/><Relationship Id="rId41" Type="http://schemas.openxmlformats.org/officeDocument/2006/relationships/hyperlink" Target="https://codeforces.com/problemset/problem/1789/B" TargetMode="External"/><Relationship Id="rId62" Type="http://schemas.openxmlformats.org/officeDocument/2006/relationships/hyperlink" Target="https://codeforces.com/problemset/problem/1343/C" TargetMode="External"/><Relationship Id="rId83" Type="http://schemas.openxmlformats.org/officeDocument/2006/relationships/hyperlink" Target="https://codeforces.com/problemset/problem/525/A" TargetMode="External"/><Relationship Id="rId179" Type="http://schemas.openxmlformats.org/officeDocument/2006/relationships/hyperlink" Target="https://codeforces.com/problemset/problem/1470/A" TargetMode="External"/><Relationship Id="rId365" Type="http://schemas.openxmlformats.org/officeDocument/2006/relationships/hyperlink" Target="https://www.hackerrank.com/challenges/tree-level-order-traversal/problem" TargetMode="External"/><Relationship Id="rId386" Type="http://schemas.openxmlformats.org/officeDocument/2006/relationships/hyperlink" Target="https://codeforces.com/problemset/problem/1627/C" TargetMode="External"/><Relationship Id="rId190" Type="http://schemas.openxmlformats.org/officeDocument/2006/relationships/hyperlink" Target="https://codeforces.com/problemset/problem/1399/B" TargetMode="External"/><Relationship Id="rId204" Type="http://schemas.openxmlformats.org/officeDocument/2006/relationships/hyperlink" Target="https://codeforces.com/problemset/problem/1807G/2" TargetMode="External"/><Relationship Id="rId225" Type="http://schemas.openxmlformats.org/officeDocument/2006/relationships/hyperlink" Target="https://www.hackerrank.com/challenges/restaurant/problem" TargetMode="External"/><Relationship Id="rId246" Type="http://schemas.openxmlformats.org/officeDocument/2006/relationships/hyperlink" Target="https://codeforces.com/problemset/problem/1635/A" TargetMode="External"/><Relationship Id="rId267" Type="http://schemas.openxmlformats.org/officeDocument/2006/relationships/hyperlink" Target="https://www.hackerrank.com/challenges/ctci-fibonacci-numbers/problem" TargetMode="External"/><Relationship Id="rId288" Type="http://schemas.openxmlformats.org/officeDocument/2006/relationships/hyperlink" Target="https://www.hackerrank.com/challenges/insert-a-node-at-the-head-of-a-linked-list/problem" TargetMode="External"/><Relationship Id="rId411" Type="http://schemas.openxmlformats.org/officeDocument/2006/relationships/hyperlink" Target="https://codeforces.com/problemset/problem/1311/B" TargetMode="External"/><Relationship Id="rId432" Type="http://schemas.openxmlformats.org/officeDocument/2006/relationships/hyperlink" Target="https://codeforces.com/problemset/problem/1055/B" TargetMode="External"/><Relationship Id="rId453" Type="http://schemas.openxmlformats.org/officeDocument/2006/relationships/hyperlink" Target="https://codeforces.com/problemset/problem/732/B" TargetMode="External"/><Relationship Id="rId474" Type="http://schemas.openxmlformats.org/officeDocument/2006/relationships/hyperlink" Target="https://codeforces.com/problemset/problem/1285/B" TargetMode="External"/><Relationship Id="rId106" Type="http://schemas.openxmlformats.org/officeDocument/2006/relationships/hyperlink" Target="https://www.hackerrank.com/challenges/ctci-making-anagrams/problem" TargetMode="External"/><Relationship Id="rId127" Type="http://schemas.openxmlformats.org/officeDocument/2006/relationships/hyperlink" Target="https://codeforces.com/problemset/problem/1360/B" TargetMode="External"/><Relationship Id="rId313" Type="http://schemas.openxmlformats.org/officeDocument/2006/relationships/hyperlink" Target="https://codeforces.com/problemset/problem/1763/B" TargetMode="External"/><Relationship Id="rId10" Type="http://schemas.openxmlformats.org/officeDocument/2006/relationships/hyperlink" Target="https://www.hackerrank.com/challenges/2d-array/problem" TargetMode="External"/><Relationship Id="rId31" Type="http://schemas.openxmlformats.org/officeDocument/2006/relationships/hyperlink" Target="https://codeforces.com/problemset/problem/381/A" TargetMode="External"/><Relationship Id="rId52" Type="http://schemas.openxmlformats.org/officeDocument/2006/relationships/hyperlink" Target="https://codeforces.com/problemset/problem/1251/A" TargetMode="External"/><Relationship Id="rId73" Type="http://schemas.openxmlformats.org/officeDocument/2006/relationships/hyperlink" Target="https://codeforces.com/problemset/problem/1582/C" TargetMode="External"/><Relationship Id="rId94" Type="http://schemas.openxmlformats.org/officeDocument/2006/relationships/hyperlink" Target="https://codeforces.com/problemset/problem/281/A" TargetMode="External"/><Relationship Id="rId148" Type="http://schemas.openxmlformats.org/officeDocument/2006/relationships/hyperlink" Target="https://www.hackerrank.com/challenges/countingsort4/problem" TargetMode="External"/><Relationship Id="rId169" Type="http://schemas.openxmlformats.org/officeDocument/2006/relationships/hyperlink" Target="https://codeforces.com/problemset/problem/1352/C" TargetMode="External"/><Relationship Id="rId334" Type="http://schemas.openxmlformats.org/officeDocument/2006/relationships/hyperlink" Target="https://codeforces.com/problemset/problem/1846/C" TargetMode="External"/><Relationship Id="rId355" Type="http://schemas.openxmlformats.org/officeDocument/2006/relationships/hyperlink" Target="https://codeforces.com/problemset/problem/1490/E" TargetMode="External"/><Relationship Id="rId376" Type="http://schemas.openxmlformats.org/officeDocument/2006/relationships/hyperlink" Target="https://www.hackerrank.com/challenges/binary-search-tree-insertion/problem" TargetMode="External"/><Relationship Id="rId397" Type="http://schemas.openxmlformats.org/officeDocument/2006/relationships/hyperlink" Target="https://www.hackerrank.com/challenges/the-quickest-way-up/problem" TargetMode="External"/><Relationship Id="rId4" Type="http://schemas.openxmlformats.org/officeDocument/2006/relationships/hyperlink" Target="https://codeforces.com/problemset/problem/266/A" TargetMode="External"/><Relationship Id="rId180" Type="http://schemas.openxmlformats.org/officeDocument/2006/relationships/hyperlink" Target="https://codeforces.com/problemset/problem/1476/B" TargetMode="External"/><Relationship Id="rId215" Type="http://schemas.openxmlformats.org/officeDocument/2006/relationships/hyperlink" Target="https://codeforces.com/problemset/problem/1328/A" TargetMode="External"/><Relationship Id="rId236" Type="http://schemas.openxmlformats.org/officeDocument/2006/relationships/hyperlink" Target="https://codeforces.com/problemset/problem/1858/C" TargetMode="External"/><Relationship Id="rId257" Type="http://schemas.openxmlformats.org/officeDocument/2006/relationships/hyperlink" Target="https://codeforces.com/problemset/problem/268/A" TargetMode="External"/><Relationship Id="rId278" Type="http://schemas.openxmlformats.org/officeDocument/2006/relationships/hyperlink" Target="https://codeforces.com/problemset/problem/680/B" TargetMode="External"/><Relationship Id="rId401" Type="http://schemas.openxmlformats.org/officeDocument/2006/relationships/hyperlink" Target="https://codeforces.com/problemset/problem/1327/B" TargetMode="External"/><Relationship Id="rId422" Type="http://schemas.openxmlformats.org/officeDocument/2006/relationships/hyperlink" Target="https://www.hackerrank.com/challenges/merging-communities/problem" TargetMode="External"/><Relationship Id="rId443" Type="http://schemas.openxmlformats.org/officeDocument/2006/relationships/hyperlink" Target="https://codeforces.com/problemset/problem/1486/B" TargetMode="External"/><Relationship Id="rId464" Type="http://schemas.openxmlformats.org/officeDocument/2006/relationships/hyperlink" Target="https://www.hackerrank.com/challenges/candies/problem" TargetMode="External"/><Relationship Id="rId303" Type="http://schemas.openxmlformats.org/officeDocument/2006/relationships/hyperlink" Target="https://codeforces.com/problemset/problem/767/A" TargetMode="External"/><Relationship Id="rId42" Type="http://schemas.openxmlformats.org/officeDocument/2006/relationships/hyperlink" Target="https://www.hackerrank.com/challenges/icecream-parlor/problem" TargetMode="External"/><Relationship Id="rId84" Type="http://schemas.openxmlformats.org/officeDocument/2006/relationships/hyperlink" Target="https://codeforces.com/problemset/problem/1213/B" TargetMode="External"/><Relationship Id="rId138" Type="http://schemas.openxmlformats.org/officeDocument/2006/relationships/hyperlink" Target="https://codeforces.com/problemset/problem/456/A" TargetMode="External"/><Relationship Id="rId345" Type="http://schemas.openxmlformats.org/officeDocument/2006/relationships/hyperlink" Target="https://codeforces.com/problemset/problem/1265/B" TargetMode="External"/><Relationship Id="rId387" Type="http://schemas.openxmlformats.org/officeDocument/2006/relationships/hyperlink" Target="https://codeforces.com/problemset/problem/1559D/1" TargetMode="External"/><Relationship Id="rId191" Type="http://schemas.openxmlformats.org/officeDocument/2006/relationships/hyperlink" Target="https://www.hackerrank.com/challenges/priyanka-and-toys/problem" TargetMode="External"/><Relationship Id="rId205" Type="http://schemas.openxmlformats.org/officeDocument/2006/relationships/hyperlink" Target="https://codeforces.com/problemset/problem/1417/B" TargetMode="External"/><Relationship Id="rId247" Type="http://schemas.openxmlformats.org/officeDocument/2006/relationships/hyperlink" Target="https://codeforces.com/problemset/problem/1688/A" TargetMode="External"/><Relationship Id="rId412" Type="http://schemas.openxmlformats.org/officeDocument/2006/relationships/hyperlink" Target="https://codeforces.com/problemset/problem/1490/D" TargetMode="External"/><Relationship Id="rId107" Type="http://schemas.openxmlformats.org/officeDocument/2006/relationships/hyperlink" Target="https://www.hackerrank.com/challenges/anagram/problem" TargetMode="External"/><Relationship Id="rId289" Type="http://schemas.openxmlformats.org/officeDocument/2006/relationships/hyperlink" Target="https://www.hackerrank.com/challenges/insert-a-node-at-a-specific-position-in-a-linked-list/problem" TargetMode="External"/><Relationship Id="rId454" Type="http://schemas.openxmlformats.org/officeDocument/2006/relationships/hyperlink" Target="https://codeforces.com/problemset/problem/1829/D" TargetMode="External"/><Relationship Id="rId11" Type="http://schemas.openxmlformats.org/officeDocument/2006/relationships/hyperlink" Target="https://www.hackerrank.com/challenges/array-left-rotation/problem" TargetMode="External"/><Relationship Id="rId53" Type="http://schemas.openxmlformats.org/officeDocument/2006/relationships/hyperlink" Target="https://codeforces.com/problemset/problem/1847/B" TargetMode="External"/><Relationship Id="rId149" Type="http://schemas.openxmlformats.org/officeDocument/2006/relationships/hyperlink" Target="https://www.hackerrank.com/challenges/fraudulent-activity-notifications/problem" TargetMode="External"/><Relationship Id="rId314" Type="http://schemas.openxmlformats.org/officeDocument/2006/relationships/hyperlink" Target="https://codeforces.com/problemset/problem/18/C" TargetMode="External"/><Relationship Id="rId356" Type="http://schemas.openxmlformats.org/officeDocument/2006/relationships/hyperlink" Target="https://codeforces.com/problemset/problem/1393/B" TargetMode="External"/><Relationship Id="rId398" Type="http://schemas.openxmlformats.org/officeDocument/2006/relationships/hyperlink" Target="https://www.hackerrank.com/challenges/connected-cell-in-a-grid/problem" TargetMode="External"/><Relationship Id="rId95" Type="http://schemas.openxmlformats.org/officeDocument/2006/relationships/hyperlink" Target="https://codeforces.com/problemset/problem/236/A" TargetMode="External"/><Relationship Id="rId160" Type="http://schemas.openxmlformats.org/officeDocument/2006/relationships/hyperlink" Target="https://codeforces.com/problemset/problem/1593/C" TargetMode="External"/><Relationship Id="rId216" Type="http://schemas.openxmlformats.org/officeDocument/2006/relationships/hyperlink" Target="https://codeforces.com/problemset/problem/148/A" TargetMode="External"/><Relationship Id="rId423" Type="http://schemas.openxmlformats.org/officeDocument/2006/relationships/hyperlink" Target="https://www.hackerrank.com/challenges/components-in-graph/problem" TargetMode="External"/><Relationship Id="rId258" Type="http://schemas.openxmlformats.org/officeDocument/2006/relationships/hyperlink" Target="https://codeforces.com/problemset/problem/155/A" TargetMode="External"/><Relationship Id="rId465" Type="http://schemas.openxmlformats.org/officeDocument/2006/relationships/hyperlink" Target="https://www.hackerrank.com/challenges/equal/problem" TargetMode="External"/><Relationship Id="rId22" Type="http://schemas.openxmlformats.org/officeDocument/2006/relationships/hyperlink" Target="https://codeforces.com/problemset/problem/519/B" TargetMode="External"/><Relationship Id="rId64" Type="http://schemas.openxmlformats.org/officeDocument/2006/relationships/hyperlink" Target="https://codeforces.com/problemset/problem/1399/C" TargetMode="External"/><Relationship Id="rId118" Type="http://schemas.openxmlformats.org/officeDocument/2006/relationships/hyperlink" Target="https://codeforces.com/problemset/problem/499/B" TargetMode="External"/><Relationship Id="rId325" Type="http://schemas.openxmlformats.org/officeDocument/2006/relationships/hyperlink" Target="https://codeforces.com/problemset/problem/1790/D" TargetMode="External"/><Relationship Id="rId367" Type="http://schemas.openxmlformats.org/officeDocument/2006/relationships/hyperlink" Target="https://codeforces.com/problemset/problem/1511/C" TargetMode="External"/><Relationship Id="rId171" Type="http://schemas.openxmlformats.org/officeDocument/2006/relationships/hyperlink" Target="https://codeforces.com/problemset/problem/1613/C" TargetMode="External"/><Relationship Id="rId227" Type="http://schemas.openxmlformats.org/officeDocument/2006/relationships/hyperlink" Target="https://codeforces.com/problemset/problem/122/A" TargetMode="External"/><Relationship Id="rId269" Type="http://schemas.openxmlformats.org/officeDocument/2006/relationships/hyperlink" Target="https://www.hackerrank.com/challenges/the-power-sum/problem" TargetMode="External"/><Relationship Id="rId434" Type="http://schemas.openxmlformats.org/officeDocument/2006/relationships/hyperlink" Target="https://codeforces.com/problemset/problem/1167/C" TargetMode="External"/><Relationship Id="rId476" Type="http://schemas.openxmlformats.org/officeDocument/2006/relationships/hyperlink" Target="https://codeforces.com/problemset/problem/1420C/1" TargetMode="External"/><Relationship Id="rId33" Type="http://schemas.openxmlformats.org/officeDocument/2006/relationships/hyperlink" Target="https://codeforces.com/problemset/problem/1791/C" TargetMode="External"/><Relationship Id="rId129" Type="http://schemas.openxmlformats.org/officeDocument/2006/relationships/hyperlink" Target="https://codeforces.com/problemset/problem/1742/B" TargetMode="External"/><Relationship Id="rId280" Type="http://schemas.openxmlformats.org/officeDocument/2006/relationships/hyperlink" Target="https://codeforces.com/problemset/problem/1405/B" TargetMode="External"/><Relationship Id="rId336" Type="http://schemas.openxmlformats.org/officeDocument/2006/relationships/hyperlink" Target="https://codeforces.com/problemset/problem/701/B" TargetMode="External"/><Relationship Id="rId75" Type="http://schemas.openxmlformats.org/officeDocument/2006/relationships/hyperlink" Target="https://codeforces.com/problemset/problem/387/B" TargetMode="External"/><Relationship Id="rId140" Type="http://schemas.openxmlformats.org/officeDocument/2006/relationships/hyperlink" Target="https://codeforces.com/problemset/problem/1360/C" TargetMode="External"/><Relationship Id="rId182" Type="http://schemas.openxmlformats.org/officeDocument/2006/relationships/hyperlink" Target="https://codeforces.com/problemset/problem/50/A" TargetMode="External"/><Relationship Id="rId378" Type="http://schemas.openxmlformats.org/officeDocument/2006/relationships/hyperlink" Target="https://www.hackerrank.com/challenges/ctci-is-binary-search-tree/problem" TargetMode="External"/><Relationship Id="rId403" Type="http://schemas.openxmlformats.org/officeDocument/2006/relationships/hyperlink" Target="https://codeforces.com/problemset/problem/1428/B" TargetMode="External"/><Relationship Id="rId6" Type="http://schemas.openxmlformats.org/officeDocument/2006/relationships/hyperlink" Target="https://codeforces.com/problemset/problem/546/A" TargetMode="External"/><Relationship Id="rId238" Type="http://schemas.openxmlformats.org/officeDocument/2006/relationships/hyperlink" Target="https://codeforces.com/problemset/problem/1051/B" TargetMode="External"/><Relationship Id="rId445" Type="http://schemas.openxmlformats.org/officeDocument/2006/relationships/hyperlink" Target="https://codeforces.com/problemset/problem/1547/E" TargetMode="External"/><Relationship Id="rId291" Type="http://schemas.openxmlformats.org/officeDocument/2006/relationships/hyperlink" Target="https://www.hackerrank.com/challenges/print-the-elements-of-a-linked-list-in-reverse/problem" TargetMode="External"/><Relationship Id="rId305" Type="http://schemas.openxmlformats.org/officeDocument/2006/relationships/hyperlink" Target="https://codeforces.com/problemset/problem/522/B" TargetMode="External"/><Relationship Id="rId347" Type="http://schemas.openxmlformats.org/officeDocument/2006/relationships/hyperlink" Target="https://www.hackerrank.com/challenges/jesse-and-cookies/problem" TargetMode="External"/><Relationship Id="rId44" Type="http://schemas.openxmlformats.org/officeDocument/2006/relationships/hyperlink" Target="https://codeforces.com/problemset/problem/1690/D" TargetMode="External"/><Relationship Id="rId86" Type="http://schemas.openxmlformats.org/officeDocument/2006/relationships/hyperlink" Target="https://www.hackerrank.com/challenges/count-triplets-1/problem" TargetMode="External"/><Relationship Id="rId151" Type="http://schemas.openxmlformats.org/officeDocument/2006/relationships/hyperlink" Target="https://codeforces.com/problemset/problem/750/A" TargetMode="External"/><Relationship Id="rId389" Type="http://schemas.openxmlformats.org/officeDocument/2006/relationships/hyperlink" Target="https://codeforces.com/problemset/problem/1143/C" TargetMode="External"/><Relationship Id="rId193" Type="http://schemas.openxmlformats.org/officeDocument/2006/relationships/hyperlink" Target="https://www.hackerrank.com/challenges/luck-balance/problem" TargetMode="External"/><Relationship Id="rId207" Type="http://schemas.openxmlformats.org/officeDocument/2006/relationships/hyperlink" Target="https://codeforces.com/problemset/problem/1472/D" TargetMode="External"/><Relationship Id="rId249" Type="http://schemas.openxmlformats.org/officeDocument/2006/relationships/hyperlink" Target="https://www.hackerrank.com/challenges/lonely-integer/problem" TargetMode="External"/><Relationship Id="rId414" Type="http://schemas.openxmlformats.org/officeDocument/2006/relationships/hyperlink" Target="https://codeforces.com/problemset/problem/902/B" TargetMode="External"/><Relationship Id="rId456" Type="http://schemas.openxmlformats.org/officeDocument/2006/relationships/hyperlink" Target="https://codeforces.com/problemset/problem/1566/C" TargetMode="External"/><Relationship Id="rId13" Type="http://schemas.openxmlformats.org/officeDocument/2006/relationships/hyperlink" Target="https://www.hackerrank.com/challenges/missing-numbers/problem" TargetMode="External"/><Relationship Id="rId109" Type="http://schemas.openxmlformats.org/officeDocument/2006/relationships/hyperlink" Target="https://www.hackerrank.com/challenges/beautiful-binary-string/problem" TargetMode="External"/><Relationship Id="rId260" Type="http://schemas.openxmlformats.org/officeDocument/2006/relationships/hyperlink" Target="https://codeforces.com/problemset/problem/1520/A" TargetMode="External"/><Relationship Id="rId316" Type="http://schemas.openxmlformats.org/officeDocument/2006/relationships/hyperlink" Target="https://codeforces.com/problemset/problem/1702/C" TargetMode="External"/><Relationship Id="rId55" Type="http://schemas.openxmlformats.org/officeDocument/2006/relationships/hyperlink" Target="https://codeforces.com/problemset/problem/1669/F" TargetMode="External"/><Relationship Id="rId97" Type="http://schemas.openxmlformats.org/officeDocument/2006/relationships/hyperlink" Target="https://codeforces.com/problemset/problem/734/A" TargetMode="External"/><Relationship Id="rId120" Type="http://schemas.openxmlformats.org/officeDocument/2006/relationships/hyperlink" Target="https://codeforces.com/problemset/problem/766/A" TargetMode="External"/><Relationship Id="rId358" Type="http://schemas.openxmlformats.org/officeDocument/2006/relationships/hyperlink" Target="https://codeforces.com/problemset/problem/1519/C" TargetMode="External"/><Relationship Id="rId162" Type="http://schemas.openxmlformats.org/officeDocument/2006/relationships/hyperlink" Target="https://codeforces.com/problemset/problem/1809/B" TargetMode="External"/><Relationship Id="rId218" Type="http://schemas.openxmlformats.org/officeDocument/2006/relationships/hyperlink" Target="https://codeforces.com/problemset/problem/1352/A" TargetMode="External"/><Relationship Id="rId425" Type="http://schemas.openxmlformats.org/officeDocument/2006/relationships/hyperlink" Target="https://www.hackerrank.com/challenges/primsmstsub/problem" TargetMode="External"/><Relationship Id="rId467" Type="http://schemas.openxmlformats.org/officeDocument/2006/relationships/hyperlink" Target="https://www.hackerrank.com/challenges/stockmax/problem" TargetMode="External"/><Relationship Id="rId271" Type="http://schemas.openxmlformats.org/officeDocument/2006/relationships/hyperlink" Target="https://codeforces.com/problemset/problem/1520/C" TargetMode="External"/><Relationship Id="rId24" Type="http://schemas.openxmlformats.org/officeDocument/2006/relationships/hyperlink" Target="https://codeforces.com/problemset/problem/433/B" TargetMode="External"/><Relationship Id="rId66" Type="http://schemas.openxmlformats.org/officeDocument/2006/relationships/hyperlink" Target="https://codeforces.com/problemset/problem/1133/C" TargetMode="External"/><Relationship Id="rId131" Type="http://schemas.openxmlformats.org/officeDocument/2006/relationships/hyperlink" Target="https://www.hackerrank.com/challenges/big-sorting/problem" TargetMode="External"/><Relationship Id="rId327" Type="http://schemas.openxmlformats.org/officeDocument/2006/relationships/hyperlink" Target="https://codeforces.com/problemset/problem/1214/C" TargetMode="External"/><Relationship Id="rId369" Type="http://schemas.openxmlformats.org/officeDocument/2006/relationships/hyperlink" Target="https://codeforces.com/problemset/problem/522/A" TargetMode="External"/><Relationship Id="rId173" Type="http://schemas.openxmlformats.org/officeDocument/2006/relationships/hyperlink" Target="https://codeforces.com/problemset/problem/1742/E" TargetMode="External"/><Relationship Id="rId229" Type="http://schemas.openxmlformats.org/officeDocument/2006/relationships/hyperlink" Target="https://codeforces.com/problemset/problem/577/A" TargetMode="External"/><Relationship Id="rId380" Type="http://schemas.openxmlformats.org/officeDocument/2006/relationships/hyperlink" Target="https://www.hackerrank.com/challenges/even-tree/problem" TargetMode="External"/><Relationship Id="rId436" Type="http://schemas.openxmlformats.org/officeDocument/2006/relationships/hyperlink" Target="https://www.hackerrank.com/challenges/dijkstrashortreach/problem" TargetMode="External"/><Relationship Id="rId240" Type="http://schemas.openxmlformats.org/officeDocument/2006/relationships/hyperlink" Target="https://codeforces.com/problemset/problem/919/B" TargetMode="External"/><Relationship Id="rId478" Type="http://schemas.openxmlformats.org/officeDocument/2006/relationships/hyperlink" Target="https://codeforces.com/problemset/problem/489/C" TargetMode="External"/><Relationship Id="rId35" Type="http://schemas.openxmlformats.org/officeDocument/2006/relationships/hyperlink" Target="https://codeforces.com/problemset/problem/1840/A" TargetMode="External"/><Relationship Id="rId77" Type="http://schemas.openxmlformats.org/officeDocument/2006/relationships/hyperlink" Target="https://www.hackerrank.com/challenges/two-strings/problem" TargetMode="External"/><Relationship Id="rId100" Type="http://schemas.openxmlformats.org/officeDocument/2006/relationships/hyperlink" Target="https://codeforces.com/problemset/problem/785/A" TargetMode="External"/><Relationship Id="rId282" Type="http://schemas.openxmlformats.org/officeDocument/2006/relationships/hyperlink" Target="https://codeforces.com/problemset/problem/1713/B" TargetMode="External"/><Relationship Id="rId338" Type="http://schemas.openxmlformats.org/officeDocument/2006/relationships/hyperlink" Target="https://codeforces.com/problemset/problem/1698/C" TargetMode="External"/><Relationship Id="rId8" Type="http://schemas.openxmlformats.org/officeDocument/2006/relationships/hyperlink" Target="https://codeforces.com/problemset/problem/110/A" TargetMode="External"/><Relationship Id="rId142" Type="http://schemas.openxmlformats.org/officeDocument/2006/relationships/hyperlink" Target="https://codeforces.com/problemset/problem/1557/B" TargetMode="External"/><Relationship Id="rId184" Type="http://schemas.openxmlformats.org/officeDocument/2006/relationships/hyperlink" Target="https://codeforces.com/problemset/problem/1409/A" TargetMode="External"/><Relationship Id="rId391" Type="http://schemas.openxmlformats.org/officeDocument/2006/relationships/hyperlink" Target="https://codeforces.com/problemset/problem/500/A" TargetMode="External"/><Relationship Id="rId405" Type="http://schemas.openxmlformats.org/officeDocument/2006/relationships/hyperlink" Target="https://codeforces.com/problemset/problem/1581/B" TargetMode="External"/><Relationship Id="rId447" Type="http://schemas.openxmlformats.org/officeDocument/2006/relationships/hyperlink" Target="https://codeforces.com/problemset/problem/329/B" TargetMode="External"/><Relationship Id="rId251" Type="http://schemas.openxmlformats.org/officeDocument/2006/relationships/hyperlink" Target="https://www.hackerrank.com/challenges/maximizing-xor/problem" TargetMode="External"/><Relationship Id="rId46" Type="http://schemas.openxmlformats.org/officeDocument/2006/relationships/hyperlink" Target="https://www.hackerrank.com/challenges/picking-numbers/problem" TargetMode="External"/><Relationship Id="rId293" Type="http://schemas.openxmlformats.org/officeDocument/2006/relationships/hyperlink" Target="https://www.hackerrank.com/challenges/compare-two-linked-lists/problem" TargetMode="External"/><Relationship Id="rId307" Type="http://schemas.openxmlformats.org/officeDocument/2006/relationships/hyperlink" Target="https://www.hackerrank.com/challenges/balanced-brackets/problem" TargetMode="External"/><Relationship Id="rId349" Type="http://schemas.openxmlformats.org/officeDocument/2006/relationships/hyperlink" Target="https://codeforces.com/problemset/problem/982/B" TargetMode="External"/><Relationship Id="rId88" Type="http://schemas.openxmlformats.org/officeDocument/2006/relationships/hyperlink" Target="https://codeforces.com/problemset/problem/1520/D" TargetMode="External"/><Relationship Id="rId111" Type="http://schemas.openxmlformats.org/officeDocument/2006/relationships/hyperlink" Target="https://www.hackerrank.com/challenges/palindrome-index/problem" TargetMode="External"/><Relationship Id="rId153" Type="http://schemas.openxmlformats.org/officeDocument/2006/relationships/hyperlink" Target="https://codeforces.com/problemset/problem/1566/A" TargetMode="External"/><Relationship Id="rId195" Type="http://schemas.openxmlformats.org/officeDocument/2006/relationships/hyperlink" Target="https://www.hackerrank.com/challenges/minimum-absolute-difference-in-an-array/problem" TargetMode="External"/><Relationship Id="rId209" Type="http://schemas.openxmlformats.org/officeDocument/2006/relationships/hyperlink" Target="https://codeforces.com/problemset/problem/1406/B" TargetMode="External"/><Relationship Id="rId360" Type="http://schemas.openxmlformats.org/officeDocument/2006/relationships/hyperlink" Target="https://www.hackerrank.com/challenges/minimum-average-waiting-time/problem" TargetMode="External"/><Relationship Id="rId416" Type="http://schemas.openxmlformats.org/officeDocument/2006/relationships/hyperlink" Target="https://codeforces.com/problemset/problem/1249B/2" TargetMode="External"/><Relationship Id="rId220" Type="http://schemas.openxmlformats.org/officeDocument/2006/relationships/hyperlink" Target="https://codeforces.com/problemset/problem/732/A" TargetMode="External"/><Relationship Id="rId458" Type="http://schemas.openxmlformats.org/officeDocument/2006/relationships/hyperlink" Target="https://codeforces.com/problemset/problem/1382/B" TargetMode="External"/><Relationship Id="rId15" Type="http://schemas.openxmlformats.org/officeDocument/2006/relationships/hyperlink" Target="https://www.hackerrank.com/challenges/sparse-arrays/problem" TargetMode="External"/><Relationship Id="rId57" Type="http://schemas.openxmlformats.org/officeDocument/2006/relationships/hyperlink" Target="https://codeforces.com/problemset/problem/1832/B" TargetMode="External"/><Relationship Id="rId262" Type="http://schemas.openxmlformats.org/officeDocument/2006/relationships/hyperlink" Target="https://codeforces.com/problemset/problem/1535/A" TargetMode="External"/><Relationship Id="rId318" Type="http://schemas.openxmlformats.org/officeDocument/2006/relationships/hyperlink" Target="https://codeforces.com/problemset/problem/1800C/2" TargetMode="External"/><Relationship Id="rId99" Type="http://schemas.openxmlformats.org/officeDocument/2006/relationships/hyperlink" Target="https://codeforces.com/problemset/problem/520/A" TargetMode="External"/><Relationship Id="rId122" Type="http://schemas.openxmlformats.org/officeDocument/2006/relationships/hyperlink" Target="https://codeforces.com/problemset/problem/1399/A" TargetMode="External"/><Relationship Id="rId164" Type="http://schemas.openxmlformats.org/officeDocument/2006/relationships/hyperlink" Target="https://codeforces.com/problemset/problem/1490/C" TargetMode="External"/><Relationship Id="rId371" Type="http://schemas.openxmlformats.org/officeDocument/2006/relationships/hyperlink" Target="https://codeforces.com/problemset/problem/1843/D" TargetMode="External"/><Relationship Id="rId427" Type="http://schemas.openxmlformats.org/officeDocument/2006/relationships/hyperlink" Target="https://codeforces.com/problemset/problem/959/B" TargetMode="External"/><Relationship Id="rId469" Type="http://schemas.openxmlformats.org/officeDocument/2006/relationships/hyperlink" Target="https://www.hackerrank.com/challenges/construct-the-array/problem" TargetMode="External"/><Relationship Id="rId26" Type="http://schemas.openxmlformats.org/officeDocument/2006/relationships/hyperlink" Target="https://codeforces.com/problemset/problem/1341/B" TargetMode="External"/><Relationship Id="rId231" Type="http://schemas.openxmlformats.org/officeDocument/2006/relationships/hyperlink" Target="https://codeforces.com/problemset/problem/1326/A" TargetMode="External"/><Relationship Id="rId273" Type="http://schemas.openxmlformats.org/officeDocument/2006/relationships/hyperlink" Target="https://codeforces.com/problemset/problem/118/B" TargetMode="External"/><Relationship Id="rId329" Type="http://schemas.openxmlformats.org/officeDocument/2006/relationships/hyperlink" Target="https://www.hackerrank.com/challenges/poisonous-plants/problem" TargetMode="External"/><Relationship Id="rId480" Type="http://schemas.openxmlformats.org/officeDocument/2006/relationships/hyperlink" Target="https://codeforces.com/problemset/problem/1526/B" TargetMode="External"/><Relationship Id="rId68" Type="http://schemas.openxmlformats.org/officeDocument/2006/relationships/hyperlink" Target="https://codeforces.com/problemset/problem/1598/C" TargetMode="External"/><Relationship Id="rId133" Type="http://schemas.openxmlformats.org/officeDocument/2006/relationships/hyperlink" Target="https://www.hackerrank.com/challenges/insertionsort1/problem" TargetMode="External"/><Relationship Id="rId175" Type="http://schemas.openxmlformats.org/officeDocument/2006/relationships/hyperlink" Target="https://codeforces.com/problemset/problem/230/B" TargetMode="External"/><Relationship Id="rId340" Type="http://schemas.openxmlformats.org/officeDocument/2006/relationships/hyperlink" Target="https://codeforces.com/problemset/problem/1703/F" TargetMode="External"/><Relationship Id="rId200" Type="http://schemas.openxmlformats.org/officeDocument/2006/relationships/hyperlink" Target="https://codeforces.com/problemset/problem/1791G/1" TargetMode="External"/><Relationship Id="rId382" Type="http://schemas.openxmlformats.org/officeDocument/2006/relationships/hyperlink" Target="https://codeforces.com/problemset/problem/1675/D" TargetMode="External"/><Relationship Id="rId438" Type="http://schemas.openxmlformats.org/officeDocument/2006/relationships/hyperlink" Target="https://codeforces.com/problemset/problem/1661/B" TargetMode="External"/><Relationship Id="rId242" Type="http://schemas.openxmlformats.org/officeDocument/2006/relationships/hyperlink" Target="https://codeforces.com/problemset/problem/1843/C" TargetMode="External"/><Relationship Id="rId284" Type="http://schemas.openxmlformats.org/officeDocument/2006/relationships/hyperlink" Target="https://codeforces.com/problemset/problem/1859/B" TargetMode="External"/><Relationship Id="rId37" Type="http://schemas.openxmlformats.org/officeDocument/2006/relationships/hyperlink" Target="https://codeforces.com/problemset/problem/1851/B" TargetMode="External"/><Relationship Id="rId79" Type="http://schemas.openxmlformats.org/officeDocument/2006/relationships/hyperlink" Target="https://codeforces.com/problemset/problem/1622/B" TargetMode="External"/><Relationship Id="rId102" Type="http://schemas.openxmlformats.org/officeDocument/2006/relationships/hyperlink" Target="https://www.hackerrank.com/challenges/pangrams/problem" TargetMode="External"/><Relationship Id="rId144" Type="http://schemas.openxmlformats.org/officeDocument/2006/relationships/hyperlink" Target="https://codeforces.com/problemset/problem/1676/E" TargetMode="External"/><Relationship Id="rId90" Type="http://schemas.openxmlformats.org/officeDocument/2006/relationships/hyperlink" Target="https://codeforces.com/problemset/problem/1650/C" TargetMode="External"/><Relationship Id="rId186" Type="http://schemas.openxmlformats.org/officeDocument/2006/relationships/hyperlink" Target="https://codeforces.com/problemset/problem/1360/A" TargetMode="External"/><Relationship Id="rId351" Type="http://schemas.openxmlformats.org/officeDocument/2006/relationships/hyperlink" Target="https://codeforces.com/problemset/problem/1348/B" TargetMode="External"/><Relationship Id="rId393" Type="http://schemas.openxmlformats.org/officeDocument/2006/relationships/hyperlink" Target="https://codeforces.com/problemset/problem/1033/A" TargetMode="External"/><Relationship Id="rId407" Type="http://schemas.openxmlformats.org/officeDocument/2006/relationships/hyperlink" Target="https://www.hackerrank.com/challenges/journey-to-the-moon/problem" TargetMode="External"/><Relationship Id="rId449" Type="http://schemas.openxmlformats.org/officeDocument/2006/relationships/hyperlink" Target="https://codeforces.com/problemset/problem/1437/D" TargetMode="External"/><Relationship Id="rId211" Type="http://schemas.openxmlformats.org/officeDocument/2006/relationships/hyperlink" Target="https://codeforces.com/problemset/problem/4/A" TargetMode="External"/><Relationship Id="rId253" Type="http://schemas.openxmlformats.org/officeDocument/2006/relationships/hyperlink" Target="https://www.hackerrank.com/challenges/and-product/problem" TargetMode="External"/><Relationship Id="rId295" Type="http://schemas.openxmlformats.org/officeDocument/2006/relationships/hyperlink" Target="https://www.hackerrank.com/challenges/get-the-value-of-the-node-at-a-specific-position-from-the-tail/problem" TargetMode="External"/><Relationship Id="rId309" Type="http://schemas.openxmlformats.org/officeDocument/2006/relationships/hyperlink" Target="https://www.hackerrank.com/challenges/game-of-two-stacks/problem" TargetMode="External"/><Relationship Id="rId460" Type="http://schemas.openxmlformats.org/officeDocument/2006/relationships/hyperlink" Target="https://codeforces.com/problemset/problem/1631/B" TargetMode="External"/><Relationship Id="rId48" Type="http://schemas.openxmlformats.org/officeDocument/2006/relationships/hyperlink" Target="https://codeforces.com/problemset/problem/1744/C" TargetMode="External"/><Relationship Id="rId113" Type="http://schemas.openxmlformats.org/officeDocument/2006/relationships/hyperlink" Target="https://codeforces.com/problemset/problem/118/A" TargetMode="External"/><Relationship Id="rId320" Type="http://schemas.openxmlformats.org/officeDocument/2006/relationships/hyperlink" Target="https://codeforces.com/problemset/problem/1760/E" TargetMode="External"/><Relationship Id="rId155" Type="http://schemas.openxmlformats.org/officeDocument/2006/relationships/hyperlink" Target="https://codeforces.com/problemset/problem/202/A" TargetMode="External"/><Relationship Id="rId197" Type="http://schemas.openxmlformats.org/officeDocument/2006/relationships/hyperlink" Target="https://www.hackerrank.com/challenges/grid-challenge/problem" TargetMode="External"/><Relationship Id="rId362" Type="http://schemas.openxmlformats.org/officeDocument/2006/relationships/hyperlink" Target="https://www.hackerrank.com/challenges/tree-postorder-traversal/problem" TargetMode="External"/><Relationship Id="rId418" Type="http://schemas.openxmlformats.org/officeDocument/2006/relationships/hyperlink" Target="https://codeforces.com/problemset/problem/1182/B" TargetMode="External"/><Relationship Id="rId222" Type="http://schemas.openxmlformats.org/officeDocument/2006/relationships/hyperlink" Target="https://codeforces.com/problemset/problem/151/A" TargetMode="External"/><Relationship Id="rId264" Type="http://schemas.openxmlformats.org/officeDocument/2006/relationships/hyperlink" Target="https://codeforces.com/problemset/problem/935/A" TargetMode="External"/><Relationship Id="rId471" Type="http://schemas.openxmlformats.org/officeDocument/2006/relationships/hyperlink" Target="https://codeforces.com/problemset/problem/189/A" TargetMode="External"/><Relationship Id="rId17" Type="http://schemas.openxmlformats.org/officeDocument/2006/relationships/hyperlink" Target="https://www.hackerrank.com/challenges/the-birthday-bar/problem" TargetMode="External"/><Relationship Id="rId59" Type="http://schemas.openxmlformats.org/officeDocument/2006/relationships/hyperlink" Target="https://www.hackerrank.com/challenges/angry-children/problem" TargetMode="External"/><Relationship Id="rId124" Type="http://schemas.openxmlformats.org/officeDocument/2006/relationships/hyperlink" Target="https://codeforces.com/problemset/problem/490/A" TargetMode="External"/><Relationship Id="rId70" Type="http://schemas.openxmlformats.org/officeDocument/2006/relationships/hyperlink" Target="https://codeforces.com/problemset/problem/1729/D" TargetMode="External"/><Relationship Id="rId166" Type="http://schemas.openxmlformats.org/officeDocument/2006/relationships/hyperlink" Target="https://www.hackerrank.com/challenges/minimum-time-required/problem" TargetMode="External"/><Relationship Id="rId331" Type="http://schemas.openxmlformats.org/officeDocument/2006/relationships/hyperlink" Target="https://codeforces.com/problemset/problem/368/B" TargetMode="External"/><Relationship Id="rId373" Type="http://schemas.openxmlformats.org/officeDocument/2006/relationships/hyperlink" Target="https://codeforces.com/problemset/problem/1857/D" TargetMode="External"/><Relationship Id="rId429" Type="http://schemas.openxmlformats.org/officeDocument/2006/relationships/hyperlink" Target="https://codeforces.com/problemset/problem/1534/C" TargetMode="External"/><Relationship Id="rId1" Type="http://schemas.openxmlformats.org/officeDocument/2006/relationships/hyperlink" Target="https://codeforces.com/problemset/problem/158/A" TargetMode="External"/><Relationship Id="rId233" Type="http://schemas.openxmlformats.org/officeDocument/2006/relationships/hyperlink" Target="https://codeforces.com/problemset/problem/1515/B" TargetMode="External"/><Relationship Id="rId440" Type="http://schemas.openxmlformats.org/officeDocument/2006/relationships/hyperlink" Target="https://codeforces.com/problemset/problem/1540/A" TargetMode="External"/><Relationship Id="rId28" Type="http://schemas.openxmlformats.org/officeDocument/2006/relationships/hyperlink" Target="https://www.hackerrank.com/challenges/crush/problem" TargetMode="External"/><Relationship Id="rId275" Type="http://schemas.openxmlformats.org/officeDocument/2006/relationships/hyperlink" Target="https://codeforces.com/problemset/problem/1490/B" TargetMode="External"/><Relationship Id="rId300" Type="http://schemas.openxmlformats.org/officeDocument/2006/relationships/hyperlink" Target="https://www.hackerrank.com/challenges/reverse-a-doubly-linked-list/problem" TargetMode="External"/><Relationship Id="rId81" Type="http://schemas.openxmlformats.org/officeDocument/2006/relationships/hyperlink" Target="https://codeforces.com/problemset/problem/1165/B" TargetMode="External"/><Relationship Id="rId135" Type="http://schemas.openxmlformats.org/officeDocument/2006/relationships/hyperlink" Target="https://www.hackerrank.com/challenges/countingsort1/problem" TargetMode="External"/><Relationship Id="rId177" Type="http://schemas.openxmlformats.org/officeDocument/2006/relationships/hyperlink" Target="https://codeforces.com/problemset/problem/1538/C" TargetMode="External"/><Relationship Id="rId342" Type="http://schemas.openxmlformats.org/officeDocument/2006/relationships/hyperlink" Target="https://codeforces.com/problemset/problem/1676/F" TargetMode="External"/><Relationship Id="rId384" Type="http://schemas.openxmlformats.org/officeDocument/2006/relationships/hyperlink" Target="https://codeforces.com/problemset/problem/429/A" TargetMode="External"/><Relationship Id="rId202" Type="http://schemas.openxmlformats.org/officeDocument/2006/relationships/hyperlink" Target="https://codeforces.com/problemset/problem/1685/A" TargetMode="External"/><Relationship Id="rId244" Type="http://schemas.openxmlformats.org/officeDocument/2006/relationships/hyperlink" Target="https://codeforces.com/problemset/problem/1421/A" TargetMode="External"/><Relationship Id="rId39" Type="http://schemas.openxmlformats.org/officeDocument/2006/relationships/hyperlink" Target="https://codeforces.com/problemset/problem/1746/B" TargetMode="External"/><Relationship Id="rId286" Type="http://schemas.openxmlformats.org/officeDocument/2006/relationships/hyperlink" Target="https://www.hackerrank.com/challenges/print-the-elements-of-a-linked-list/problem" TargetMode="External"/><Relationship Id="rId451" Type="http://schemas.openxmlformats.org/officeDocument/2006/relationships/hyperlink" Target="https://codeforces.com/problemset/problem/1182/A" TargetMode="External"/><Relationship Id="rId50" Type="http://schemas.openxmlformats.org/officeDocument/2006/relationships/hyperlink" Target="https://codeforces.com/problemset/problem/1760/D" TargetMode="External"/><Relationship Id="rId104" Type="http://schemas.openxmlformats.org/officeDocument/2006/relationships/hyperlink" Target="https://www.hackerrank.com/challenges/strong-password/problem" TargetMode="External"/><Relationship Id="rId146" Type="http://schemas.openxmlformats.org/officeDocument/2006/relationships/hyperlink" Target="https://codeforces.com/problemset/problem/1529/B" TargetMode="External"/><Relationship Id="rId188" Type="http://schemas.openxmlformats.org/officeDocument/2006/relationships/hyperlink" Target="https://codeforces.com/problemset/problem/1551/A" TargetMode="External"/><Relationship Id="rId311" Type="http://schemas.openxmlformats.org/officeDocument/2006/relationships/hyperlink" Target="https://codeforces.com/problemset/problem/1679/B" TargetMode="External"/><Relationship Id="rId353" Type="http://schemas.openxmlformats.org/officeDocument/2006/relationships/hyperlink" Target="https://codeforces.com/problemset/problem/1375/C" TargetMode="External"/><Relationship Id="rId395" Type="http://schemas.openxmlformats.org/officeDocument/2006/relationships/hyperlink" Target="https://codeforces.com/problemset/problem/1255/B" TargetMode="External"/><Relationship Id="rId409" Type="http://schemas.openxmlformats.org/officeDocument/2006/relationships/hyperlink" Target="https://codeforces.com/problemset/problem/445/A" TargetMode="External"/><Relationship Id="rId92" Type="http://schemas.openxmlformats.org/officeDocument/2006/relationships/hyperlink" Target="https://codeforces.com/problemset/problem/112/A" TargetMode="External"/><Relationship Id="rId213" Type="http://schemas.openxmlformats.org/officeDocument/2006/relationships/hyperlink" Target="https://codeforces.com/problemset/problem/486/A" TargetMode="External"/><Relationship Id="rId420" Type="http://schemas.openxmlformats.org/officeDocument/2006/relationships/hyperlink" Target="https://codeforces.com/problemset/problem/932/B" TargetMode="External"/><Relationship Id="rId255" Type="http://schemas.openxmlformats.org/officeDocument/2006/relationships/hyperlink" Target="https://www.hackerrank.com/challenges/sansa-and-xor/problem" TargetMode="External"/><Relationship Id="rId297" Type="http://schemas.openxmlformats.org/officeDocument/2006/relationships/hyperlink" Target="https://www.hackerrank.com/challenges/ctci-linked-list-cycle/problem" TargetMode="External"/><Relationship Id="rId462" Type="http://schemas.openxmlformats.org/officeDocument/2006/relationships/hyperlink" Target="https://www.hackerrank.com/challenges/fibonacci-modified/problem" TargetMode="External"/><Relationship Id="rId115" Type="http://schemas.openxmlformats.org/officeDocument/2006/relationships/hyperlink" Target="https://codeforces.com/problemset/problem/131/A" TargetMode="External"/><Relationship Id="rId157" Type="http://schemas.openxmlformats.org/officeDocument/2006/relationships/hyperlink" Target="https://codeforces.com/problemset/problem/1476/A" TargetMode="External"/><Relationship Id="rId322" Type="http://schemas.openxmlformats.org/officeDocument/2006/relationships/hyperlink" Target="https://codeforces.com/problemset/problem/755/B" TargetMode="External"/><Relationship Id="rId364" Type="http://schemas.openxmlformats.org/officeDocument/2006/relationships/hyperlink" Target="https://www.hackerrank.com/challenges/tree-height-of-a-binary-tree/problem" TargetMode="External"/><Relationship Id="rId61" Type="http://schemas.openxmlformats.org/officeDocument/2006/relationships/hyperlink" Target="https://codeforces.com/problemset/problem/489/B" TargetMode="External"/><Relationship Id="rId199" Type="http://schemas.openxmlformats.org/officeDocument/2006/relationships/hyperlink" Target="https://codeforces.com/problemset/problem/1712/C" TargetMode="External"/><Relationship Id="rId19" Type="http://schemas.openxmlformats.org/officeDocument/2006/relationships/hyperlink" Target="https://codeforces.com/problemset/problem/1798/B" TargetMode="External"/><Relationship Id="rId224" Type="http://schemas.openxmlformats.org/officeDocument/2006/relationships/hyperlink" Target="https://www.hackerrank.com/challenges/handshake/problem" TargetMode="External"/><Relationship Id="rId266" Type="http://schemas.openxmlformats.org/officeDocument/2006/relationships/hyperlink" Target="https://codeforces.com/problemset/problem/1097/A" TargetMode="External"/><Relationship Id="rId431" Type="http://schemas.openxmlformats.org/officeDocument/2006/relationships/hyperlink" Target="https://codeforces.com/problemset/problem/515/B" TargetMode="External"/><Relationship Id="rId473" Type="http://schemas.openxmlformats.org/officeDocument/2006/relationships/hyperlink" Target="https://codeforces.com/problemset/problem/1555/C" TargetMode="External"/><Relationship Id="rId30" Type="http://schemas.openxmlformats.org/officeDocument/2006/relationships/hyperlink" Target="https://codeforces.com/problemset/problem/1398/C" TargetMode="External"/><Relationship Id="rId126" Type="http://schemas.openxmlformats.org/officeDocument/2006/relationships/hyperlink" Target="https://codeforces.com/problemset/problem/1760/A" TargetMode="External"/><Relationship Id="rId168" Type="http://schemas.openxmlformats.org/officeDocument/2006/relationships/hyperlink" Target="https://codeforces.com/problemset/problem/492/B" TargetMode="External"/><Relationship Id="rId333" Type="http://schemas.openxmlformats.org/officeDocument/2006/relationships/hyperlink" Target="https://www.hackerrank.com/challenges/down-to-zero-ii/probl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00"/>
  <sheetViews>
    <sheetView showGridLines="0" workbookViewId="0">
      <selection activeCell="K22" sqref="K22"/>
    </sheetView>
  </sheetViews>
  <sheetFormatPr defaultColWidth="14.42578125" defaultRowHeight="15" customHeight="1" x14ac:dyDescent="0.25"/>
  <cols>
    <col min="1" max="1" width="3" customWidth="1"/>
    <col min="2" max="2" width="26" customWidth="1"/>
    <col min="3" max="3" width="40" customWidth="1"/>
    <col min="4" max="8" width="14" customWidth="1"/>
    <col min="9" max="26" width="8.7109375" customWidth="1"/>
  </cols>
  <sheetData>
    <row r="2" spans="2:8" ht="26.25" x14ac:dyDescent="0.4">
      <c r="B2" s="25" t="s">
        <v>2</v>
      </c>
      <c r="C2" s="24"/>
      <c r="D2" s="24"/>
      <c r="E2" s="24"/>
      <c r="F2" s="24"/>
      <c r="G2" s="24"/>
      <c r="H2" s="24"/>
    </row>
    <row r="3" spans="2:8" ht="15.75" x14ac:dyDescent="0.25">
      <c r="B3" s="26" t="s">
        <v>3</v>
      </c>
      <c r="C3" s="24"/>
      <c r="D3" s="24"/>
      <c r="E3" s="24"/>
      <c r="F3" s="24"/>
      <c r="G3" s="24"/>
      <c r="H3" s="24"/>
    </row>
    <row r="4" spans="2:8" x14ac:dyDescent="0.25">
      <c r="B4" s="27"/>
      <c r="C4" s="24"/>
      <c r="D4" s="24"/>
      <c r="E4" s="24"/>
      <c r="F4" s="24"/>
      <c r="G4" s="24"/>
      <c r="H4" s="24"/>
    </row>
    <row r="6" spans="2:8" ht="15.75" x14ac:dyDescent="0.25">
      <c r="B6" s="3" t="s">
        <v>5</v>
      </c>
    </row>
    <row r="7" spans="2:8" x14ac:dyDescent="0.25">
      <c r="B7" s="4" t="s">
        <v>9</v>
      </c>
      <c r="C7" s="28" t="s">
        <v>13</v>
      </c>
      <c r="D7" s="29"/>
      <c r="E7" s="29"/>
      <c r="F7" s="29"/>
      <c r="G7" s="29"/>
      <c r="H7" s="30"/>
    </row>
    <row r="8" spans="2:8" x14ac:dyDescent="0.25">
      <c r="B8" s="4" t="s">
        <v>24</v>
      </c>
      <c r="C8" s="28" t="s">
        <v>26</v>
      </c>
      <c r="D8" s="29"/>
      <c r="E8" s="29"/>
      <c r="F8" s="29"/>
      <c r="G8" s="29"/>
      <c r="H8" s="30"/>
    </row>
    <row r="9" spans="2:8" x14ac:dyDescent="0.25">
      <c r="B9" s="4" t="s">
        <v>30</v>
      </c>
      <c r="C9" s="28" t="s">
        <v>33</v>
      </c>
      <c r="D9" s="29"/>
      <c r="E9" s="29"/>
      <c r="F9" s="29"/>
      <c r="G9" s="29"/>
      <c r="H9" s="30"/>
    </row>
    <row r="10" spans="2:8" x14ac:dyDescent="0.25">
      <c r="B10" s="4" t="s">
        <v>42</v>
      </c>
      <c r="C10" s="28" t="s">
        <v>44</v>
      </c>
      <c r="D10" s="29"/>
      <c r="E10" s="29"/>
      <c r="F10" s="29"/>
      <c r="G10" s="29"/>
      <c r="H10" s="30"/>
    </row>
    <row r="11" spans="2:8" x14ac:dyDescent="0.25">
      <c r="B11" s="4" t="s">
        <v>47</v>
      </c>
      <c r="C11" s="28" t="s">
        <v>49</v>
      </c>
      <c r="D11" s="29"/>
      <c r="E11" s="29"/>
      <c r="F11" s="29"/>
      <c r="G11" s="29"/>
      <c r="H11" s="30"/>
    </row>
    <row r="12" spans="2:8" x14ac:dyDescent="0.25">
      <c r="B12" s="4" t="s">
        <v>35</v>
      </c>
      <c r="C12" s="28" t="s">
        <v>54</v>
      </c>
      <c r="D12" s="29"/>
      <c r="E12" s="29"/>
      <c r="F12" s="29"/>
      <c r="G12" s="29"/>
      <c r="H12" s="30"/>
    </row>
    <row r="14" spans="2:8" ht="15.75" x14ac:dyDescent="0.25">
      <c r="B14" s="3" t="s">
        <v>58</v>
      </c>
    </row>
    <row r="15" spans="2:8" x14ac:dyDescent="0.25">
      <c r="B15" s="13" t="s">
        <v>59</v>
      </c>
      <c r="C15" s="16">
        <f>COUNTIF(Tracker!$J:$J,"Solved")</f>
        <v>11</v>
      </c>
      <c r="D15" s="17" t="s">
        <v>70</v>
      </c>
    </row>
    <row r="16" spans="2:8" x14ac:dyDescent="0.25">
      <c r="B16" s="13" t="s">
        <v>75</v>
      </c>
      <c r="C16" s="16">
        <f>COUNTIF(Tracker!$J:$J,"Attempted")</f>
        <v>0</v>
      </c>
      <c r="D16" s="17"/>
    </row>
    <row r="17" spans="2:8" x14ac:dyDescent="0.25">
      <c r="B17" s="13" t="s">
        <v>81</v>
      </c>
      <c r="C17" s="16">
        <f>COUNTIF(Tracker!$J:$J,"Revised")</f>
        <v>0</v>
      </c>
      <c r="D17" s="17"/>
    </row>
    <row r="18" spans="2:8" x14ac:dyDescent="0.25">
      <c r="B18" s="13" t="s">
        <v>86</v>
      </c>
      <c r="C18" s="16">
        <f>COUNTIFS(Tracker!$B:$B,"In-Class",Tracker!$J:$J,"Solved")</f>
        <v>5</v>
      </c>
      <c r="D18" s="17" t="s">
        <v>93</v>
      </c>
    </row>
    <row r="19" spans="2:8" x14ac:dyDescent="0.25">
      <c r="B19" s="13" t="s">
        <v>97</v>
      </c>
      <c r="C19" s="16">
        <f>COUNTIFS(Tracker!$B:$B,"Homework",Tracker!$J:$J,"Solved")</f>
        <v>6</v>
      </c>
      <c r="D19" s="17" t="s">
        <v>102</v>
      </c>
    </row>
    <row r="20" spans="2:8" x14ac:dyDescent="0.25">
      <c r="B20" s="13" t="s">
        <v>105</v>
      </c>
      <c r="C20" s="16" t="str">
        <f>ROUND(COUNTIF(Tracker!$J:$J,"Solved")/480*100,1)&amp;"%"</f>
        <v>2.3%</v>
      </c>
      <c r="D20" s="17"/>
    </row>
    <row r="21" spans="2:8" ht="15.75" customHeight="1" x14ac:dyDescent="0.25"/>
    <row r="22" spans="2:8" ht="15.75" customHeight="1" x14ac:dyDescent="0.25">
      <c r="B22" s="3" t="s">
        <v>112</v>
      </c>
    </row>
    <row r="23" spans="2:8" ht="15.75" customHeight="1" x14ac:dyDescent="0.25">
      <c r="B23" s="23" t="s">
        <v>115</v>
      </c>
      <c r="C23" s="24"/>
      <c r="D23" s="24"/>
      <c r="E23" s="24"/>
      <c r="F23" s="24"/>
      <c r="G23" s="24"/>
      <c r="H23" s="24"/>
    </row>
    <row r="24" spans="2:8" ht="15.75" customHeight="1" x14ac:dyDescent="0.25">
      <c r="B24" s="23" t="s">
        <v>117</v>
      </c>
      <c r="C24" s="24"/>
      <c r="D24" s="24"/>
      <c r="E24" s="24"/>
      <c r="F24" s="24"/>
      <c r="G24" s="24"/>
      <c r="H24" s="24"/>
    </row>
    <row r="25" spans="2:8" ht="15.75" customHeight="1" x14ac:dyDescent="0.25">
      <c r="B25" s="23" t="s">
        <v>118</v>
      </c>
      <c r="C25" s="24"/>
      <c r="D25" s="24"/>
      <c r="E25" s="24"/>
      <c r="F25" s="24"/>
      <c r="G25" s="24"/>
      <c r="H25" s="24"/>
    </row>
    <row r="26" spans="2:8" ht="15.75" customHeight="1" x14ac:dyDescent="0.25">
      <c r="B26" s="23" t="s">
        <v>119</v>
      </c>
      <c r="C26" s="24"/>
      <c r="D26" s="24"/>
      <c r="E26" s="24"/>
      <c r="F26" s="24"/>
      <c r="G26" s="24"/>
      <c r="H26" s="24"/>
    </row>
    <row r="27" spans="2:8" ht="15.75" customHeight="1" x14ac:dyDescent="0.25">
      <c r="B27" s="23" t="s">
        <v>120</v>
      </c>
      <c r="C27" s="24"/>
      <c r="D27" s="24"/>
      <c r="E27" s="24"/>
      <c r="F27" s="24"/>
      <c r="G27" s="24"/>
      <c r="H27" s="24"/>
    </row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26:H26"/>
    <mergeCell ref="B27:H27"/>
    <mergeCell ref="B2:H2"/>
    <mergeCell ref="B3:H3"/>
    <mergeCell ref="B4:H4"/>
    <mergeCell ref="C7:H7"/>
    <mergeCell ref="C8:H8"/>
    <mergeCell ref="C9:H9"/>
    <mergeCell ref="C10:H10"/>
    <mergeCell ref="C11:H11"/>
    <mergeCell ref="C12:H12"/>
    <mergeCell ref="B23:H23"/>
    <mergeCell ref="B24:H24"/>
    <mergeCell ref="B25:H25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pane ySplit="2" topLeftCell="A13" activePane="bottomLeft" state="frozen"/>
      <selection pane="bottomLeft" activeCell="B23" sqref="B23"/>
    </sheetView>
  </sheetViews>
  <sheetFormatPr defaultColWidth="14.42578125" defaultRowHeight="15" customHeight="1" x14ac:dyDescent="0.25"/>
  <cols>
    <col min="1" max="1" width="8" customWidth="1"/>
    <col min="2" max="2" width="55.140625" bestFit="1" customWidth="1"/>
    <col min="3" max="3" width="26.7109375" bestFit="1" customWidth="1"/>
    <col min="4" max="4" width="13.42578125" bestFit="1" customWidth="1"/>
    <col min="5" max="5" width="11.7109375" bestFit="1" customWidth="1"/>
    <col min="6" max="6" width="10.85546875" bestFit="1" customWidth="1"/>
    <col min="7" max="7" width="11.42578125" bestFit="1" customWidth="1"/>
    <col min="8" max="8" width="10.42578125" bestFit="1" customWidth="1"/>
    <col min="9" max="9" width="74.28515625" bestFit="1" customWidth="1"/>
    <col min="10" max="26" width="8.7109375" customWidth="1"/>
  </cols>
  <sheetData>
    <row r="1" spans="1:9" ht="16.5" x14ac:dyDescent="0.25">
      <c r="A1" s="31" t="s">
        <v>1</v>
      </c>
      <c r="B1" s="24"/>
      <c r="C1" s="24"/>
      <c r="D1" s="24"/>
      <c r="E1" s="24"/>
      <c r="F1" s="24"/>
      <c r="G1" s="24"/>
      <c r="H1" s="24"/>
      <c r="I1" s="24"/>
    </row>
    <row r="2" spans="1:9" ht="25.5" x14ac:dyDescent="0.25">
      <c r="A2" s="2" t="s">
        <v>4</v>
      </c>
      <c r="B2" s="2" t="s">
        <v>6</v>
      </c>
      <c r="C2" s="2" t="s">
        <v>10</v>
      </c>
      <c r="D2" s="2" t="s">
        <v>12</v>
      </c>
      <c r="E2" s="2" t="s">
        <v>14</v>
      </c>
      <c r="F2" s="2" t="s">
        <v>15</v>
      </c>
      <c r="G2" s="2" t="s">
        <v>17</v>
      </c>
      <c r="H2" s="2" t="s">
        <v>18</v>
      </c>
      <c r="I2" s="2" t="s">
        <v>20</v>
      </c>
    </row>
    <row r="3" spans="1:9" x14ac:dyDescent="0.25">
      <c r="A3" s="7">
        <v>1</v>
      </c>
      <c r="B3" s="9" t="s">
        <v>16</v>
      </c>
      <c r="C3" s="7" t="s">
        <v>28</v>
      </c>
      <c r="D3" s="7">
        <v>4</v>
      </c>
      <c r="E3" s="7">
        <v>1</v>
      </c>
      <c r="F3" s="7">
        <f t="shared" ref="F3:F34" si="0">D3+E3</f>
        <v>5</v>
      </c>
      <c r="G3" s="7" t="str">
        <f t="shared" ref="G3:G34" si="1">ROUND(F3/15*100,0)&amp;"%"</f>
        <v>33%</v>
      </c>
      <c r="H3" s="7" t="str">
        <f>IF(F3=15,"Complete",IF(F3=0,"Not Started","In Progress"))</f>
        <v>In Progress</v>
      </c>
      <c r="I3" s="9" t="s">
        <v>69</v>
      </c>
    </row>
    <row r="4" spans="1:9" x14ac:dyDescent="0.25">
      <c r="A4" s="11">
        <v>2</v>
      </c>
      <c r="B4" s="14" t="s">
        <v>27</v>
      </c>
      <c r="C4" s="11" t="s">
        <v>78</v>
      </c>
      <c r="D4" s="11">
        <v>3</v>
      </c>
      <c r="E4" s="11">
        <f>COUNTIFS(Tracker!$A:$A,2,Tracker!$B:$B,"Homework",Tracker!$J:$J,"Solved")</f>
        <v>0</v>
      </c>
      <c r="F4" s="11">
        <f t="shared" si="0"/>
        <v>3</v>
      </c>
      <c r="G4" s="11" t="str">
        <f t="shared" si="1"/>
        <v>20%</v>
      </c>
      <c r="H4" s="11" t="s">
        <v>92</v>
      </c>
      <c r="I4" s="14" t="s">
        <v>69</v>
      </c>
    </row>
    <row r="5" spans="1:9" x14ac:dyDescent="0.25">
      <c r="A5" s="7">
        <v>3</v>
      </c>
      <c r="B5" s="9" t="s">
        <v>39</v>
      </c>
      <c r="C5" s="7" t="s">
        <v>100</v>
      </c>
      <c r="D5" s="7">
        <f>COUNTIFS(Tracker!$A:$A,3,Tracker!$B:$B,"In-Class",Tracker!$J:$J,"Solved")</f>
        <v>0</v>
      </c>
      <c r="E5" s="7">
        <f>COUNTIFS(Tracker!$A:$A,3,Tracker!$B:$B,"Homework",Tracker!$J:$J,"Solved")</f>
        <v>0</v>
      </c>
      <c r="F5" s="7">
        <f t="shared" si="0"/>
        <v>0</v>
      </c>
      <c r="G5" s="7" t="str">
        <f t="shared" si="1"/>
        <v>0%</v>
      </c>
      <c r="H5" s="7" t="str">
        <f t="shared" ref="H5:H34" si="2">IF(F5=15,"Complete",IF(F5=0,"Not Started","In Progress"))</f>
        <v>Not Started</v>
      </c>
      <c r="I5" s="9" t="s">
        <v>69</v>
      </c>
    </row>
    <row r="6" spans="1:9" x14ac:dyDescent="0.25">
      <c r="A6" s="11">
        <v>4</v>
      </c>
      <c r="B6" s="14" t="s">
        <v>46</v>
      </c>
      <c r="C6" s="11" t="s">
        <v>127</v>
      </c>
      <c r="D6" s="11">
        <f>COUNTIFS(Tracker!$A:$A,4,Tracker!$B:$B,"In-Class",Tracker!$J:$J,"Solved")</f>
        <v>0</v>
      </c>
      <c r="E6" s="11">
        <f>COUNTIFS(Tracker!$A:$A,4,Tracker!$B:$B,"Homework",Tracker!$J:$J,"Solved")</f>
        <v>0</v>
      </c>
      <c r="F6" s="11">
        <f t="shared" si="0"/>
        <v>0</v>
      </c>
      <c r="G6" s="11" t="str">
        <f t="shared" si="1"/>
        <v>0%</v>
      </c>
      <c r="H6" s="11" t="str">
        <f t="shared" si="2"/>
        <v>Not Started</v>
      </c>
      <c r="I6" s="14" t="s">
        <v>69</v>
      </c>
    </row>
    <row r="7" spans="1:9" x14ac:dyDescent="0.25">
      <c r="A7" s="7">
        <v>5</v>
      </c>
      <c r="B7" s="9" t="s">
        <v>52</v>
      </c>
      <c r="C7" s="7" t="s">
        <v>145</v>
      </c>
      <c r="D7" s="7">
        <f>COUNTIFS(Tracker!$A:$A,5,Tracker!$B:$B,"In-Class",Tracker!$J:$J,"Solved")</f>
        <v>0</v>
      </c>
      <c r="E7" s="7">
        <f>COUNTIFS(Tracker!$A:$A,5,Tracker!$B:$B,"Homework",Tracker!$J:$J,"Solved")</f>
        <v>0</v>
      </c>
      <c r="F7" s="7">
        <f t="shared" si="0"/>
        <v>0</v>
      </c>
      <c r="G7" s="7" t="str">
        <f t="shared" si="1"/>
        <v>0%</v>
      </c>
      <c r="H7" s="7" t="str">
        <f t="shared" si="2"/>
        <v>Not Started</v>
      </c>
      <c r="I7" s="9" t="s">
        <v>69</v>
      </c>
    </row>
    <row r="8" spans="1:9" x14ac:dyDescent="0.25">
      <c r="A8" s="11">
        <v>6</v>
      </c>
      <c r="B8" s="14" t="s">
        <v>60</v>
      </c>
      <c r="C8" s="11" t="s">
        <v>167</v>
      </c>
      <c r="D8" s="11">
        <f>COUNTIFS(Tracker!$A:$A,6,Tracker!$B:$B,"In-Class",Tracker!$J:$J,"Solved")</f>
        <v>0</v>
      </c>
      <c r="E8" s="11">
        <f>COUNTIFS(Tracker!$A:$A,6,Tracker!$B:$B,"Homework",Tracker!$J:$J,"Solved")</f>
        <v>0</v>
      </c>
      <c r="F8" s="11">
        <f t="shared" si="0"/>
        <v>0</v>
      </c>
      <c r="G8" s="11" t="str">
        <f t="shared" si="1"/>
        <v>0%</v>
      </c>
      <c r="H8" s="11" t="str">
        <f t="shared" si="2"/>
        <v>Not Started</v>
      </c>
      <c r="I8" s="14" t="s">
        <v>69</v>
      </c>
    </row>
    <row r="9" spans="1:9" x14ac:dyDescent="0.25">
      <c r="A9" s="7">
        <v>7</v>
      </c>
      <c r="B9" s="9" t="s">
        <v>66</v>
      </c>
      <c r="C9" s="7" t="s">
        <v>184</v>
      </c>
      <c r="D9" s="7">
        <f>COUNTIFS(Tracker!$A:$A,7,Tracker!$B:$B,"In-Class",Tracker!$J:$J,"Solved")</f>
        <v>0</v>
      </c>
      <c r="E9" s="7">
        <f>COUNTIFS(Tracker!$A:$A,7,Tracker!$B:$B,"Homework",Tracker!$J:$J,"Solved")</f>
        <v>0</v>
      </c>
      <c r="F9" s="7">
        <f t="shared" si="0"/>
        <v>0</v>
      </c>
      <c r="G9" s="7" t="str">
        <f t="shared" si="1"/>
        <v>0%</v>
      </c>
      <c r="H9" s="7" t="str">
        <f t="shared" si="2"/>
        <v>Not Started</v>
      </c>
      <c r="I9" s="9" t="s">
        <v>69</v>
      </c>
    </row>
    <row r="10" spans="1:9" x14ac:dyDescent="0.25">
      <c r="A10" s="11">
        <v>8</v>
      </c>
      <c r="B10" s="14" t="s">
        <v>74</v>
      </c>
      <c r="C10" s="11" t="s">
        <v>199</v>
      </c>
      <c r="D10" s="11">
        <f>COUNTIFS(Tracker!$A:$A,8,Tracker!$B:$B,"In-Class",Tracker!$J:$J,"Solved")</f>
        <v>0</v>
      </c>
      <c r="E10" s="11">
        <f>COUNTIFS(Tracker!$A:$A,8,Tracker!$B:$B,"Homework",Tracker!$J:$J,"Solved")</f>
        <v>0</v>
      </c>
      <c r="F10" s="11">
        <f t="shared" si="0"/>
        <v>0</v>
      </c>
      <c r="G10" s="11" t="str">
        <f t="shared" si="1"/>
        <v>0%</v>
      </c>
      <c r="H10" s="11" t="str">
        <f t="shared" si="2"/>
        <v>Not Started</v>
      </c>
      <c r="I10" s="14" t="s">
        <v>69</v>
      </c>
    </row>
    <row r="11" spans="1:9" x14ac:dyDescent="0.25">
      <c r="A11" s="7">
        <v>9</v>
      </c>
      <c r="B11" s="9" t="s">
        <v>80</v>
      </c>
      <c r="C11" s="7" t="s">
        <v>206</v>
      </c>
      <c r="D11" s="7">
        <f>COUNTIFS(Tracker!$A:$A,9,Tracker!$B:$B,"In-Class",Tracker!$J:$J,"Solved")</f>
        <v>0</v>
      </c>
      <c r="E11" s="7">
        <f>COUNTIFS(Tracker!$A:$A,9,Tracker!$B:$B,"Homework",Tracker!$J:$J,"Solved")</f>
        <v>0</v>
      </c>
      <c r="F11" s="7">
        <f t="shared" si="0"/>
        <v>0</v>
      </c>
      <c r="G11" s="7" t="str">
        <f t="shared" si="1"/>
        <v>0%</v>
      </c>
      <c r="H11" s="7" t="str">
        <f t="shared" si="2"/>
        <v>Not Started</v>
      </c>
      <c r="I11" s="9" t="s">
        <v>69</v>
      </c>
    </row>
    <row r="12" spans="1:9" x14ac:dyDescent="0.25">
      <c r="A12" s="11">
        <v>10</v>
      </c>
      <c r="B12" s="14" t="s">
        <v>85</v>
      </c>
      <c r="C12" s="11" t="s">
        <v>208</v>
      </c>
      <c r="D12" s="11">
        <f>COUNTIFS(Tracker!$A:$A,10,Tracker!$B:$B,"In-Class",Tracker!$J:$J,"Solved")</f>
        <v>0</v>
      </c>
      <c r="E12" s="11">
        <f>COUNTIFS(Tracker!$A:$A,10,Tracker!$B:$B,"Homework",Tracker!$J:$J,"Solved")</f>
        <v>0</v>
      </c>
      <c r="F12" s="11">
        <f t="shared" si="0"/>
        <v>0</v>
      </c>
      <c r="G12" s="11" t="str">
        <f t="shared" si="1"/>
        <v>0%</v>
      </c>
      <c r="H12" s="11" t="str">
        <f t="shared" si="2"/>
        <v>Not Started</v>
      </c>
      <c r="I12" s="14" t="s">
        <v>69</v>
      </c>
    </row>
    <row r="13" spans="1:9" x14ac:dyDescent="0.25">
      <c r="A13" s="7">
        <v>11</v>
      </c>
      <c r="B13" s="9" t="s">
        <v>90</v>
      </c>
      <c r="C13" s="7" t="s">
        <v>210</v>
      </c>
      <c r="D13" s="7">
        <f>COUNTIFS(Tracker!$A:$A,11,Tracker!$B:$B,"In-Class",Tracker!$J:$J,"Solved")</f>
        <v>0</v>
      </c>
      <c r="E13" s="7">
        <f>COUNTIFS(Tracker!$A:$A,11,Tracker!$B:$B,"Homework",Tracker!$J:$J,"Solved")</f>
        <v>0</v>
      </c>
      <c r="F13" s="7">
        <f t="shared" si="0"/>
        <v>0</v>
      </c>
      <c r="G13" s="7" t="str">
        <f t="shared" si="1"/>
        <v>0%</v>
      </c>
      <c r="H13" s="7" t="str">
        <f t="shared" si="2"/>
        <v>Not Started</v>
      </c>
      <c r="I13" s="9" t="s">
        <v>69</v>
      </c>
    </row>
    <row r="14" spans="1:9" x14ac:dyDescent="0.25">
      <c r="A14" s="11">
        <v>12</v>
      </c>
      <c r="B14" s="14" t="s">
        <v>98</v>
      </c>
      <c r="C14" s="11" t="s">
        <v>214</v>
      </c>
      <c r="D14" s="11">
        <f>COUNTIFS(Tracker!$A:$A,12,Tracker!$B:$B,"In-Class",Tracker!$J:$J,"Solved")</f>
        <v>0</v>
      </c>
      <c r="E14" s="11">
        <f>COUNTIFS(Tracker!$A:$A,12,Tracker!$B:$B,"Homework",Tracker!$J:$J,"Solved")</f>
        <v>0</v>
      </c>
      <c r="F14" s="11">
        <f t="shared" si="0"/>
        <v>0</v>
      </c>
      <c r="G14" s="11" t="str">
        <f t="shared" si="1"/>
        <v>0%</v>
      </c>
      <c r="H14" s="11" t="str">
        <f t="shared" si="2"/>
        <v>Not Started</v>
      </c>
      <c r="I14" s="14" t="s">
        <v>69</v>
      </c>
    </row>
    <row r="15" spans="1:9" x14ac:dyDescent="0.25">
      <c r="A15" s="7">
        <v>13</v>
      </c>
      <c r="B15" s="9" t="s">
        <v>106</v>
      </c>
      <c r="C15" s="7" t="s">
        <v>184</v>
      </c>
      <c r="D15" s="7">
        <f>COUNTIFS(Tracker!$A:$A,13,Tracker!$B:$B,"In-Class",Tracker!$J:$J,"Solved")</f>
        <v>0</v>
      </c>
      <c r="E15" s="7">
        <f>COUNTIFS(Tracker!$A:$A,13,Tracker!$B:$B,"Homework",Tracker!$J:$J,"Solved")</f>
        <v>0</v>
      </c>
      <c r="F15" s="7">
        <f t="shared" si="0"/>
        <v>0</v>
      </c>
      <c r="G15" s="7" t="str">
        <f t="shared" si="1"/>
        <v>0%</v>
      </c>
      <c r="H15" s="7" t="str">
        <f t="shared" si="2"/>
        <v>Not Started</v>
      </c>
      <c r="I15" s="9" t="s">
        <v>69</v>
      </c>
    </row>
    <row r="16" spans="1:9" x14ac:dyDescent="0.25">
      <c r="A16" s="11">
        <v>14</v>
      </c>
      <c r="B16" s="14" t="s">
        <v>110</v>
      </c>
      <c r="C16" s="11" t="s">
        <v>217</v>
      </c>
      <c r="D16" s="11">
        <f>COUNTIFS(Tracker!$A:$A,14,Tracker!$B:$B,"In-Class",Tracker!$J:$J,"Solved")</f>
        <v>0</v>
      </c>
      <c r="E16" s="11">
        <f>COUNTIFS(Tracker!$A:$A,14,Tracker!$B:$B,"Homework",Tracker!$J:$J,"Solved")</f>
        <v>0</v>
      </c>
      <c r="F16" s="11">
        <f t="shared" si="0"/>
        <v>0</v>
      </c>
      <c r="G16" s="11" t="str">
        <f t="shared" si="1"/>
        <v>0%</v>
      </c>
      <c r="H16" s="11" t="str">
        <f t="shared" si="2"/>
        <v>Not Started</v>
      </c>
      <c r="I16" s="14" t="s">
        <v>69</v>
      </c>
    </row>
    <row r="17" spans="1:9" x14ac:dyDescent="0.25">
      <c r="A17" s="7">
        <v>15</v>
      </c>
      <c r="B17" s="9" t="s">
        <v>121</v>
      </c>
      <c r="C17" s="7" t="s">
        <v>219</v>
      </c>
      <c r="D17" s="7">
        <f>COUNTIFS(Tracker!$A:$A,15,Tracker!$B:$B,"In-Class",Tracker!$J:$J,"Solved")</f>
        <v>0</v>
      </c>
      <c r="E17" s="7">
        <f>COUNTIFS(Tracker!$A:$A,15,Tracker!$B:$B,"Homework",Tracker!$J:$J,"Solved")</f>
        <v>0</v>
      </c>
      <c r="F17" s="7">
        <f t="shared" si="0"/>
        <v>0</v>
      </c>
      <c r="G17" s="7" t="str">
        <f t="shared" si="1"/>
        <v>0%</v>
      </c>
      <c r="H17" s="7" t="str">
        <f t="shared" si="2"/>
        <v>Not Started</v>
      </c>
      <c r="I17" s="9" t="s">
        <v>69</v>
      </c>
    </row>
    <row r="18" spans="1:9" x14ac:dyDescent="0.25">
      <c r="A18" s="11">
        <v>16</v>
      </c>
      <c r="B18" s="14" t="s">
        <v>125</v>
      </c>
      <c r="C18" s="11" t="s">
        <v>221</v>
      </c>
      <c r="D18" s="11">
        <f>COUNTIFS(Tracker!$A:$A,16,Tracker!$B:$B,"In-Class",Tracker!$J:$J,"Solved")</f>
        <v>0</v>
      </c>
      <c r="E18" s="11">
        <f>COUNTIFS(Tracker!$A:$A,16,Tracker!$B:$B,"Homework",Tracker!$J:$J,"Solved")</f>
        <v>0</v>
      </c>
      <c r="F18" s="11">
        <f t="shared" si="0"/>
        <v>0</v>
      </c>
      <c r="G18" s="11" t="str">
        <f t="shared" si="1"/>
        <v>0%</v>
      </c>
      <c r="H18" s="11" t="str">
        <f t="shared" si="2"/>
        <v>Not Started</v>
      </c>
      <c r="I18" s="14" t="s">
        <v>69</v>
      </c>
    </row>
    <row r="19" spans="1:9" x14ac:dyDescent="0.25">
      <c r="A19" s="7">
        <v>17</v>
      </c>
      <c r="B19" s="9" t="s">
        <v>132</v>
      </c>
      <c r="C19" s="7" t="s">
        <v>222</v>
      </c>
      <c r="D19" s="7">
        <f>COUNTIFS(Tracker!$A:$A,17,Tracker!$B:$B,"In-Class",Tracker!$J:$J,"Solved")</f>
        <v>0</v>
      </c>
      <c r="E19" s="7">
        <f>COUNTIFS(Tracker!$A:$A,17,Tracker!$B:$B,"Homework",Tracker!$J:$J,"Solved")</f>
        <v>0</v>
      </c>
      <c r="F19" s="7">
        <f t="shared" si="0"/>
        <v>0</v>
      </c>
      <c r="G19" s="7" t="str">
        <f t="shared" si="1"/>
        <v>0%</v>
      </c>
      <c r="H19" s="7" t="str">
        <f t="shared" si="2"/>
        <v>Not Started</v>
      </c>
      <c r="I19" s="9" t="s">
        <v>69</v>
      </c>
    </row>
    <row r="20" spans="1:9" x14ac:dyDescent="0.25">
      <c r="A20" s="11">
        <v>18</v>
      </c>
      <c r="B20" s="14" t="s">
        <v>137</v>
      </c>
      <c r="C20" s="11" t="s">
        <v>224</v>
      </c>
      <c r="D20" s="11">
        <f>COUNTIFS(Tracker!$A:$A,18,Tracker!$B:$B,"In-Class",Tracker!$J:$J,"Solved")</f>
        <v>0</v>
      </c>
      <c r="E20" s="11">
        <f>COUNTIFS(Tracker!$A:$A,18,Tracker!$B:$B,"Homework",Tracker!$J:$J,"Solved")</f>
        <v>0</v>
      </c>
      <c r="F20" s="11">
        <f t="shared" si="0"/>
        <v>0</v>
      </c>
      <c r="G20" s="11" t="str">
        <f t="shared" si="1"/>
        <v>0%</v>
      </c>
      <c r="H20" s="11" t="str">
        <f t="shared" si="2"/>
        <v>Not Started</v>
      </c>
      <c r="I20" s="14" t="s">
        <v>69</v>
      </c>
    </row>
    <row r="21" spans="1:9" ht="15.75" customHeight="1" x14ac:dyDescent="0.25">
      <c r="A21" s="7">
        <v>19</v>
      </c>
      <c r="B21" s="9" t="s">
        <v>141</v>
      </c>
      <c r="C21" s="7" t="s">
        <v>227</v>
      </c>
      <c r="D21" s="7">
        <f>COUNTIFS(Tracker!$A:$A,19,Tracker!$B:$B,"In-Class",Tracker!$J:$J,"Solved")</f>
        <v>0</v>
      </c>
      <c r="E21" s="7">
        <f>COUNTIFS(Tracker!$A:$A,19,Tracker!$B:$B,"Homework",Tracker!$J:$J,"Solved")</f>
        <v>0</v>
      </c>
      <c r="F21" s="7">
        <f t="shared" si="0"/>
        <v>0</v>
      </c>
      <c r="G21" s="7" t="str">
        <f t="shared" si="1"/>
        <v>0%</v>
      </c>
      <c r="H21" s="7" t="str">
        <f t="shared" si="2"/>
        <v>Not Started</v>
      </c>
      <c r="I21" s="9" t="s">
        <v>69</v>
      </c>
    </row>
    <row r="22" spans="1:9" ht="15.75" customHeight="1" x14ac:dyDescent="0.25">
      <c r="A22" s="11">
        <v>20</v>
      </c>
      <c r="B22" s="14" t="s">
        <v>146</v>
      </c>
      <c r="C22" s="11" t="s">
        <v>229</v>
      </c>
      <c r="D22" s="11">
        <f>COUNTIFS(Tracker!$A:$A,20,Tracker!$B:$B,"In-Class",Tracker!$J:$J,"Solved")</f>
        <v>0</v>
      </c>
      <c r="E22" s="11">
        <f>COUNTIFS(Tracker!$A:$A,20,Tracker!$B:$B,"Homework",Tracker!$J:$J,"Solved")</f>
        <v>0</v>
      </c>
      <c r="F22" s="11">
        <f t="shared" si="0"/>
        <v>0</v>
      </c>
      <c r="G22" s="11" t="str">
        <f t="shared" si="1"/>
        <v>0%</v>
      </c>
      <c r="H22" s="11" t="str">
        <f t="shared" si="2"/>
        <v>Not Started</v>
      </c>
      <c r="I22" s="14" t="s">
        <v>69</v>
      </c>
    </row>
    <row r="23" spans="1:9" ht="15.75" customHeight="1" x14ac:dyDescent="0.25">
      <c r="A23" s="7">
        <v>21</v>
      </c>
      <c r="B23" s="9" t="s">
        <v>150</v>
      </c>
      <c r="C23" s="7" t="s">
        <v>199</v>
      </c>
      <c r="D23" s="7">
        <f>COUNTIFS(Tracker!$A:$A,21,Tracker!$B:$B,"In-Class",Tracker!$J:$J,"Solved")</f>
        <v>0</v>
      </c>
      <c r="E23" s="7">
        <f>COUNTIFS(Tracker!$A:$A,21,Tracker!$B:$B,"Homework",Tracker!$J:$J,"Solved")</f>
        <v>0</v>
      </c>
      <c r="F23" s="7">
        <f t="shared" si="0"/>
        <v>0</v>
      </c>
      <c r="G23" s="7" t="str">
        <f t="shared" si="1"/>
        <v>0%</v>
      </c>
      <c r="H23" s="7" t="str">
        <f t="shared" si="2"/>
        <v>Not Started</v>
      </c>
      <c r="I23" s="9" t="s">
        <v>69</v>
      </c>
    </row>
    <row r="24" spans="1:9" ht="15.75" customHeight="1" x14ac:dyDescent="0.25">
      <c r="A24" s="11">
        <v>22</v>
      </c>
      <c r="B24" s="14" t="s">
        <v>154</v>
      </c>
      <c r="C24" s="11" t="s">
        <v>230</v>
      </c>
      <c r="D24" s="11">
        <f>COUNTIFS(Tracker!$A:$A,22,Tracker!$B:$B,"In-Class",Tracker!$J:$J,"Solved")</f>
        <v>0</v>
      </c>
      <c r="E24" s="11">
        <f>COUNTIFS(Tracker!$A:$A,22,Tracker!$B:$B,"Homework",Tracker!$J:$J,"Solved")</f>
        <v>0</v>
      </c>
      <c r="F24" s="11">
        <f t="shared" si="0"/>
        <v>0</v>
      </c>
      <c r="G24" s="11" t="str">
        <f t="shared" si="1"/>
        <v>0%</v>
      </c>
      <c r="H24" s="11" t="str">
        <f t="shared" si="2"/>
        <v>Not Started</v>
      </c>
      <c r="I24" s="14" t="s">
        <v>69</v>
      </c>
    </row>
    <row r="25" spans="1:9" ht="15.75" customHeight="1" x14ac:dyDescent="0.25">
      <c r="A25" s="7">
        <v>23</v>
      </c>
      <c r="B25" s="9" t="s">
        <v>159</v>
      </c>
      <c r="C25" s="7" t="s">
        <v>231</v>
      </c>
      <c r="D25" s="7">
        <f>COUNTIFS(Tracker!$A:$A,23,Tracker!$B:$B,"In-Class",Tracker!$J:$J,"Solved")</f>
        <v>0</v>
      </c>
      <c r="E25" s="7">
        <f>COUNTIFS(Tracker!$A:$A,23,Tracker!$B:$B,"Homework",Tracker!$J:$J,"Solved")</f>
        <v>0</v>
      </c>
      <c r="F25" s="7">
        <f t="shared" si="0"/>
        <v>0</v>
      </c>
      <c r="G25" s="7" t="str">
        <f t="shared" si="1"/>
        <v>0%</v>
      </c>
      <c r="H25" s="7" t="str">
        <f t="shared" si="2"/>
        <v>Not Started</v>
      </c>
      <c r="I25" s="9" t="s">
        <v>69</v>
      </c>
    </row>
    <row r="26" spans="1:9" ht="15.75" customHeight="1" x14ac:dyDescent="0.25">
      <c r="A26" s="11">
        <v>24</v>
      </c>
      <c r="B26" s="14" t="s">
        <v>163</v>
      </c>
      <c r="C26" s="11" t="s">
        <v>232</v>
      </c>
      <c r="D26" s="11">
        <f>COUNTIFS(Tracker!$A:$A,24,Tracker!$B:$B,"In-Class",Tracker!$J:$J,"Solved")</f>
        <v>0</v>
      </c>
      <c r="E26" s="11">
        <f>COUNTIFS(Tracker!$A:$A,24,Tracker!$B:$B,"Homework",Tracker!$J:$J,"Solved")</f>
        <v>0</v>
      </c>
      <c r="F26" s="11">
        <f t="shared" si="0"/>
        <v>0</v>
      </c>
      <c r="G26" s="11" t="str">
        <f t="shared" si="1"/>
        <v>0%</v>
      </c>
      <c r="H26" s="11" t="str">
        <f t="shared" si="2"/>
        <v>Not Started</v>
      </c>
      <c r="I26" s="14" t="s">
        <v>69</v>
      </c>
    </row>
    <row r="27" spans="1:9" ht="15.75" customHeight="1" x14ac:dyDescent="0.25">
      <c r="A27" s="7">
        <v>25</v>
      </c>
      <c r="B27" s="9" t="s">
        <v>168</v>
      </c>
      <c r="C27" s="7" t="s">
        <v>199</v>
      </c>
      <c r="D27" s="7">
        <f>COUNTIFS(Tracker!$A:$A,25,Tracker!$B:$B,"In-Class",Tracker!$J:$J,"Solved")</f>
        <v>0</v>
      </c>
      <c r="E27" s="7">
        <f>COUNTIFS(Tracker!$A:$A,25,Tracker!$B:$B,"Homework",Tracker!$J:$J,"Solved")</f>
        <v>0</v>
      </c>
      <c r="F27" s="7">
        <f t="shared" si="0"/>
        <v>0</v>
      </c>
      <c r="G27" s="7" t="str">
        <f t="shared" si="1"/>
        <v>0%</v>
      </c>
      <c r="H27" s="7" t="str">
        <f t="shared" si="2"/>
        <v>Not Started</v>
      </c>
      <c r="I27" s="9" t="s">
        <v>69</v>
      </c>
    </row>
    <row r="28" spans="1:9" ht="15.75" customHeight="1" x14ac:dyDescent="0.25">
      <c r="A28" s="11">
        <v>26</v>
      </c>
      <c r="B28" s="14" t="s">
        <v>172</v>
      </c>
      <c r="C28" s="11" t="s">
        <v>234</v>
      </c>
      <c r="D28" s="11">
        <f>COUNTIFS(Tracker!$A:$A,26,Tracker!$B:$B,"In-Class",Tracker!$J:$J,"Solved")</f>
        <v>0</v>
      </c>
      <c r="E28" s="11">
        <f>COUNTIFS(Tracker!$A:$A,26,Tracker!$B:$B,"Homework",Tracker!$J:$J,"Solved")</f>
        <v>0</v>
      </c>
      <c r="F28" s="11">
        <f t="shared" si="0"/>
        <v>0</v>
      </c>
      <c r="G28" s="11" t="str">
        <f t="shared" si="1"/>
        <v>0%</v>
      </c>
      <c r="H28" s="11" t="str">
        <f t="shared" si="2"/>
        <v>Not Started</v>
      </c>
      <c r="I28" s="14" t="s">
        <v>69</v>
      </c>
    </row>
    <row r="29" spans="1:9" ht="15.75" customHeight="1" x14ac:dyDescent="0.25">
      <c r="A29" s="7">
        <v>27</v>
      </c>
      <c r="B29" s="9" t="s">
        <v>177</v>
      </c>
      <c r="C29" s="7" t="s">
        <v>227</v>
      </c>
      <c r="D29" s="7">
        <f>COUNTIFS(Tracker!$A:$A,27,Tracker!$B:$B,"In-Class",Tracker!$J:$J,"Solved")</f>
        <v>0</v>
      </c>
      <c r="E29" s="7">
        <f>COUNTIFS(Tracker!$A:$A,27,Tracker!$B:$B,"Homework",Tracker!$J:$J,"Solved")</f>
        <v>0</v>
      </c>
      <c r="F29" s="7">
        <f t="shared" si="0"/>
        <v>0</v>
      </c>
      <c r="G29" s="7" t="str">
        <f t="shared" si="1"/>
        <v>0%</v>
      </c>
      <c r="H29" s="7" t="str">
        <f t="shared" si="2"/>
        <v>Not Started</v>
      </c>
      <c r="I29" s="9" t="s">
        <v>69</v>
      </c>
    </row>
    <row r="30" spans="1:9" ht="15.75" customHeight="1" x14ac:dyDescent="0.25">
      <c r="A30" s="11">
        <v>28</v>
      </c>
      <c r="B30" s="14" t="s">
        <v>181</v>
      </c>
      <c r="C30" s="11" t="s">
        <v>231</v>
      </c>
      <c r="D30" s="11">
        <f>COUNTIFS(Tracker!$A:$A,28,Tracker!$B:$B,"In-Class",Tracker!$J:$J,"Solved")</f>
        <v>0</v>
      </c>
      <c r="E30" s="11">
        <f>COUNTIFS(Tracker!$A:$A,28,Tracker!$B:$B,"Homework",Tracker!$J:$J,"Solved")</f>
        <v>0</v>
      </c>
      <c r="F30" s="11">
        <f t="shared" si="0"/>
        <v>0</v>
      </c>
      <c r="G30" s="11" t="str">
        <f t="shared" si="1"/>
        <v>0%</v>
      </c>
      <c r="H30" s="11" t="str">
        <f t="shared" si="2"/>
        <v>Not Started</v>
      </c>
      <c r="I30" s="14" t="s">
        <v>69</v>
      </c>
    </row>
    <row r="31" spans="1:9" ht="15.75" customHeight="1" x14ac:dyDescent="0.25">
      <c r="A31" s="7">
        <v>29</v>
      </c>
      <c r="B31" s="9" t="s">
        <v>186</v>
      </c>
      <c r="C31" s="7" t="s">
        <v>237</v>
      </c>
      <c r="D31" s="7">
        <f>COUNTIFS(Tracker!$A:$A,29,Tracker!$B:$B,"In-Class",Tracker!$J:$J,"Solved")</f>
        <v>0</v>
      </c>
      <c r="E31" s="7">
        <f>COUNTIFS(Tracker!$A:$A,29,Tracker!$B:$B,"Homework",Tracker!$J:$J,"Solved")</f>
        <v>0</v>
      </c>
      <c r="F31" s="7">
        <f t="shared" si="0"/>
        <v>0</v>
      </c>
      <c r="G31" s="7" t="str">
        <f t="shared" si="1"/>
        <v>0%</v>
      </c>
      <c r="H31" s="7" t="str">
        <f t="shared" si="2"/>
        <v>Not Started</v>
      </c>
      <c r="I31" s="9" t="s">
        <v>69</v>
      </c>
    </row>
    <row r="32" spans="1:9" ht="15.75" customHeight="1" x14ac:dyDescent="0.25">
      <c r="A32" s="11">
        <v>30</v>
      </c>
      <c r="B32" s="14" t="s">
        <v>191</v>
      </c>
      <c r="C32" s="11" t="s">
        <v>238</v>
      </c>
      <c r="D32" s="11">
        <f>COUNTIFS(Tracker!$A:$A,30,Tracker!$B:$B,"In-Class",Tracker!$J:$J,"Solved")</f>
        <v>0</v>
      </c>
      <c r="E32" s="11">
        <f>COUNTIFS(Tracker!$A:$A,30,Tracker!$B:$B,"Homework",Tracker!$J:$J,"Solved")</f>
        <v>0</v>
      </c>
      <c r="F32" s="11">
        <f t="shared" si="0"/>
        <v>0</v>
      </c>
      <c r="G32" s="11" t="str">
        <f t="shared" si="1"/>
        <v>0%</v>
      </c>
      <c r="H32" s="11" t="str">
        <f t="shared" si="2"/>
        <v>Not Started</v>
      </c>
      <c r="I32" s="14" t="s">
        <v>69</v>
      </c>
    </row>
    <row r="33" spans="1:9" ht="15.75" customHeight="1" x14ac:dyDescent="0.25">
      <c r="A33" s="7">
        <v>31</v>
      </c>
      <c r="B33" s="9" t="s">
        <v>196</v>
      </c>
      <c r="C33" s="7" t="s">
        <v>227</v>
      </c>
      <c r="D33" s="7">
        <f>COUNTIFS(Tracker!$A:$A,31,Tracker!$B:$B,"In-Class",Tracker!$J:$J,"Solved")</f>
        <v>0</v>
      </c>
      <c r="E33" s="7">
        <f>COUNTIFS(Tracker!$A:$A,31,Tracker!$B:$B,"Homework",Tracker!$J:$J,"Solved")</f>
        <v>0</v>
      </c>
      <c r="F33" s="7">
        <f t="shared" si="0"/>
        <v>0</v>
      </c>
      <c r="G33" s="7" t="str">
        <f t="shared" si="1"/>
        <v>0%</v>
      </c>
      <c r="H33" s="7" t="str">
        <f t="shared" si="2"/>
        <v>Not Started</v>
      </c>
      <c r="I33" s="9" t="s">
        <v>69</v>
      </c>
    </row>
    <row r="34" spans="1:9" ht="15.75" customHeight="1" x14ac:dyDescent="0.25">
      <c r="A34" s="11">
        <v>32</v>
      </c>
      <c r="B34" s="14" t="s">
        <v>201</v>
      </c>
      <c r="C34" s="11" t="s">
        <v>239</v>
      </c>
      <c r="D34" s="11">
        <f>COUNTIFS(Tracker!$A:$A,32,Tracker!$B:$B,"In-Class",Tracker!$J:$J,"Solved")</f>
        <v>0</v>
      </c>
      <c r="E34" s="11">
        <f>COUNTIFS(Tracker!$A:$A,32,Tracker!$B:$B,"Homework",Tracker!$J:$J,"Solved")</f>
        <v>0</v>
      </c>
      <c r="F34" s="11">
        <f t="shared" si="0"/>
        <v>0</v>
      </c>
      <c r="G34" s="11" t="str">
        <f t="shared" si="1"/>
        <v>0%</v>
      </c>
      <c r="H34" s="11" t="str">
        <f t="shared" si="2"/>
        <v>Not Started</v>
      </c>
      <c r="I34" s="14" t="s">
        <v>69</v>
      </c>
    </row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I1"/>
  </mergeCells>
  <conditionalFormatting sqref="H3:H34">
    <cfRule type="cellIs" dxfId="2" priority="1" operator="equal">
      <formula>"Complete"</formula>
    </cfRule>
  </conditionalFormatting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8" customWidth="1"/>
    <col min="2" max="2" width="55.140625" bestFit="1" customWidth="1"/>
    <col min="3" max="3" width="111.42578125" bestFit="1" customWidth="1"/>
    <col min="4" max="4" width="80.28515625" bestFit="1" customWidth="1"/>
    <col min="5" max="5" width="93" bestFit="1" customWidth="1"/>
    <col min="6" max="26" width="8.7109375" customWidth="1"/>
  </cols>
  <sheetData>
    <row r="1" spans="1:5" ht="16.5" x14ac:dyDescent="0.25">
      <c r="A1" s="31" t="s">
        <v>0</v>
      </c>
      <c r="B1" s="24"/>
      <c r="C1" s="24"/>
      <c r="D1" s="24"/>
      <c r="E1" s="24"/>
    </row>
    <row r="2" spans="1:5" x14ac:dyDescent="0.25">
      <c r="A2" s="1" t="s">
        <v>4</v>
      </c>
      <c r="B2" s="1" t="s">
        <v>6</v>
      </c>
      <c r="C2" s="1" t="s">
        <v>7</v>
      </c>
      <c r="D2" s="1" t="s">
        <v>8</v>
      </c>
      <c r="E2" s="1" t="s">
        <v>11</v>
      </c>
    </row>
    <row r="3" spans="1:5" x14ac:dyDescent="0.25">
      <c r="A3" s="5">
        <v>1</v>
      </c>
      <c r="B3" s="6" t="s">
        <v>16</v>
      </c>
      <c r="C3" s="6" t="s">
        <v>19</v>
      </c>
      <c r="D3" s="6" t="s">
        <v>21</v>
      </c>
      <c r="E3" s="6" t="s">
        <v>22</v>
      </c>
    </row>
    <row r="4" spans="1:5" ht="25.5" x14ac:dyDescent="0.25">
      <c r="A4" s="8">
        <v>2</v>
      </c>
      <c r="B4" s="10" t="s">
        <v>27</v>
      </c>
      <c r="C4" s="10" t="s">
        <v>32</v>
      </c>
      <c r="D4" s="10" t="s">
        <v>34</v>
      </c>
      <c r="E4" s="10" t="s">
        <v>36</v>
      </c>
    </row>
    <row r="5" spans="1:5" ht="25.5" x14ac:dyDescent="0.25">
      <c r="A5" s="5">
        <v>3</v>
      </c>
      <c r="B5" s="6" t="s">
        <v>39</v>
      </c>
      <c r="C5" s="6" t="s">
        <v>40</v>
      </c>
      <c r="D5" s="6" t="s">
        <v>43</v>
      </c>
      <c r="E5" s="6" t="s">
        <v>45</v>
      </c>
    </row>
    <row r="6" spans="1:5" x14ac:dyDescent="0.25">
      <c r="A6" s="8">
        <v>4</v>
      </c>
      <c r="B6" s="10" t="s">
        <v>46</v>
      </c>
      <c r="C6" s="10" t="s">
        <v>48</v>
      </c>
      <c r="D6" s="10" t="s">
        <v>50</v>
      </c>
      <c r="E6" s="10" t="s">
        <v>51</v>
      </c>
    </row>
    <row r="7" spans="1:5" ht="25.5" x14ac:dyDescent="0.25">
      <c r="A7" s="5">
        <v>5</v>
      </c>
      <c r="B7" s="6" t="s">
        <v>52</v>
      </c>
      <c r="C7" s="6" t="s">
        <v>53</v>
      </c>
      <c r="D7" s="6" t="s">
        <v>55</v>
      </c>
      <c r="E7" s="6" t="s">
        <v>57</v>
      </c>
    </row>
    <row r="8" spans="1:5" ht="25.5" x14ac:dyDescent="0.25">
      <c r="A8" s="8">
        <v>6</v>
      </c>
      <c r="B8" s="10" t="s">
        <v>60</v>
      </c>
      <c r="C8" s="10" t="s">
        <v>62</v>
      </c>
      <c r="D8" s="15" t="s">
        <v>63</v>
      </c>
      <c r="E8" s="10" t="s">
        <v>64</v>
      </c>
    </row>
    <row r="9" spans="1:5" x14ac:dyDescent="0.25">
      <c r="A9" s="5">
        <v>7</v>
      </c>
      <c r="B9" s="6" t="s">
        <v>66</v>
      </c>
      <c r="C9" s="6" t="s">
        <v>67</v>
      </c>
      <c r="D9" s="6" t="s">
        <v>68</v>
      </c>
      <c r="E9" s="6" t="s">
        <v>71</v>
      </c>
    </row>
    <row r="10" spans="1:5" x14ac:dyDescent="0.25">
      <c r="A10" s="8">
        <v>8</v>
      </c>
      <c r="B10" s="10" t="s">
        <v>74</v>
      </c>
      <c r="C10" s="10" t="s">
        <v>76</v>
      </c>
      <c r="D10" s="10" t="s">
        <v>77</v>
      </c>
      <c r="E10" s="10" t="s">
        <v>79</v>
      </c>
    </row>
    <row r="11" spans="1:5" ht="25.5" x14ac:dyDescent="0.25">
      <c r="A11" s="5">
        <v>9</v>
      </c>
      <c r="B11" s="6" t="s">
        <v>80</v>
      </c>
      <c r="C11" s="6" t="s">
        <v>82</v>
      </c>
      <c r="D11" s="6" t="s">
        <v>83</v>
      </c>
      <c r="E11" s="6" t="s">
        <v>84</v>
      </c>
    </row>
    <row r="12" spans="1:5" x14ac:dyDescent="0.25">
      <c r="A12" s="8">
        <v>10</v>
      </c>
      <c r="B12" s="10" t="s">
        <v>85</v>
      </c>
      <c r="C12" s="10" t="s">
        <v>87</v>
      </c>
      <c r="D12" s="10" t="s">
        <v>88</v>
      </c>
      <c r="E12" s="10" t="s">
        <v>89</v>
      </c>
    </row>
    <row r="13" spans="1:5" x14ac:dyDescent="0.25">
      <c r="A13" s="5">
        <v>11</v>
      </c>
      <c r="B13" s="6" t="s">
        <v>90</v>
      </c>
      <c r="C13" s="6" t="s">
        <v>91</v>
      </c>
      <c r="D13" s="6" t="s">
        <v>94</v>
      </c>
      <c r="E13" s="6" t="s">
        <v>96</v>
      </c>
    </row>
    <row r="14" spans="1:5" x14ac:dyDescent="0.25">
      <c r="A14" s="8">
        <v>12</v>
      </c>
      <c r="B14" s="10" t="s">
        <v>98</v>
      </c>
      <c r="C14" s="10" t="s">
        <v>99</v>
      </c>
      <c r="D14" s="10" t="s">
        <v>101</v>
      </c>
      <c r="E14" s="10" t="s">
        <v>103</v>
      </c>
    </row>
    <row r="15" spans="1:5" x14ac:dyDescent="0.25">
      <c r="A15" s="5">
        <v>13</v>
      </c>
      <c r="B15" s="6" t="s">
        <v>106</v>
      </c>
      <c r="C15" s="6" t="s">
        <v>107</v>
      </c>
      <c r="D15" s="6" t="s">
        <v>108</v>
      </c>
      <c r="E15" s="6" t="s">
        <v>109</v>
      </c>
    </row>
    <row r="16" spans="1:5" x14ac:dyDescent="0.25">
      <c r="A16" s="8">
        <v>14</v>
      </c>
      <c r="B16" s="10" t="s">
        <v>110</v>
      </c>
      <c r="C16" s="10" t="s">
        <v>111</v>
      </c>
      <c r="D16" s="10" t="s">
        <v>113</v>
      </c>
      <c r="E16" s="10" t="s">
        <v>116</v>
      </c>
    </row>
    <row r="17" spans="1:5" x14ac:dyDescent="0.25">
      <c r="A17" s="5">
        <v>15</v>
      </c>
      <c r="B17" s="6" t="s">
        <v>121</v>
      </c>
      <c r="C17" s="6" t="s">
        <v>122</v>
      </c>
      <c r="D17" s="6" t="s">
        <v>123</v>
      </c>
      <c r="E17" s="6" t="s">
        <v>124</v>
      </c>
    </row>
    <row r="18" spans="1:5" x14ac:dyDescent="0.25">
      <c r="A18" s="8">
        <v>16</v>
      </c>
      <c r="B18" s="10" t="s">
        <v>125</v>
      </c>
      <c r="C18" s="10" t="s">
        <v>128</v>
      </c>
      <c r="D18" s="10" t="s">
        <v>130</v>
      </c>
      <c r="E18" s="10" t="s">
        <v>131</v>
      </c>
    </row>
    <row r="19" spans="1:5" x14ac:dyDescent="0.25">
      <c r="A19" s="5">
        <v>17</v>
      </c>
      <c r="B19" s="6" t="s">
        <v>132</v>
      </c>
      <c r="C19" s="6" t="s">
        <v>133</v>
      </c>
      <c r="D19" s="6" t="s">
        <v>134</v>
      </c>
      <c r="E19" s="6" t="s">
        <v>135</v>
      </c>
    </row>
    <row r="20" spans="1:5" x14ac:dyDescent="0.25">
      <c r="A20" s="8">
        <v>18</v>
      </c>
      <c r="B20" s="10" t="s">
        <v>137</v>
      </c>
      <c r="C20" s="10" t="s">
        <v>138</v>
      </c>
      <c r="D20" s="10" t="s">
        <v>139</v>
      </c>
      <c r="E20" s="10" t="s">
        <v>140</v>
      </c>
    </row>
    <row r="21" spans="1:5" ht="15.75" customHeight="1" x14ac:dyDescent="0.25">
      <c r="A21" s="5">
        <v>19</v>
      </c>
      <c r="B21" s="6" t="s">
        <v>141</v>
      </c>
      <c r="C21" s="6" t="s">
        <v>142</v>
      </c>
      <c r="D21" s="6" t="s">
        <v>143</v>
      </c>
      <c r="E21" s="6" t="s">
        <v>144</v>
      </c>
    </row>
    <row r="22" spans="1:5" ht="15.75" customHeight="1" x14ac:dyDescent="0.25">
      <c r="A22" s="8">
        <v>20</v>
      </c>
      <c r="B22" s="10" t="s">
        <v>146</v>
      </c>
      <c r="C22" s="10" t="s">
        <v>147</v>
      </c>
      <c r="D22" s="10" t="s">
        <v>148</v>
      </c>
      <c r="E22" s="10" t="s">
        <v>149</v>
      </c>
    </row>
    <row r="23" spans="1:5" ht="15.75" customHeight="1" x14ac:dyDescent="0.25">
      <c r="A23" s="5">
        <v>21</v>
      </c>
      <c r="B23" s="6" t="s">
        <v>150</v>
      </c>
      <c r="C23" s="6" t="s">
        <v>151</v>
      </c>
      <c r="D23" s="6" t="s">
        <v>152</v>
      </c>
      <c r="E23" s="6" t="s">
        <v>153</v>
      </c>
    </row>
    <row r="24" spans="1:5" ht="15.75" customHeight="1" x14ac:dyDescent="0.25">
      <c r="A24" s="8">
        <v>22</v>
      </c>
      <c r="B24" s="10" t="s">
        <v>154</v>
      </c>
      <c r="C24" s="10" t="s">
        <v>156</v>
      </c>
      <c r="D24" s="10" t="s">
        <v>157</v>
      </c>
      <c r="E24" s="10" t="s">
        <v>158</v>
      </c>
    </row>
    <row r="25" spans="1:5" ht="15.75" customHeight="1" x14ac:dyDescent="0.25">
      <c r="A25" s="5">
        <v>23</v>
      </c>
      <c r="B25" s="6" t="s">
        <v>159</v>
      </c>
      <c r="C25" s="6" t="s">
        <v>160</v>
      </c>
      <c r="D25" s="6" t="s">
        <v>161</v>
      </c>
      <c r="E25" s="6" t="s">
        <v>162</v>
      </c>
    </row>
    <row r="26" spans="1:5" ht="15.75" customHeight="1" x14ac:dyDescent="0.25">
      <c r="A26" s="8">
        <v>24</v>
      </c>
      <c r="B26" s="10" t="s">
        <v>163</v>
      </c>
      <c r="C26" s="10" t="s">
        <v>164</v>
      </c>
      <c r="D26" s="10" t="s">
        <v>165</v>
      </c>
      <c r="E26" s="10" t="s">
        <v>166</v>
      </c>
    </row>
    <row r="27" spans="1:5" ht="15.75" customHeight="1" x14ac:dyDescent="0.25">
      <c r="A27" s="5">
        <v>25</v>
      </c>
      <c r="B27" s="6" t="s">
        <v>168</v>
      </c>
      <c r="C27" s="6" t="s">
        <v>169</v>
      </c>
      <c r="D27" s="6" t="s">
        <v>170</v>
      </c>
      <c r="E27" s="6" t="s">
        <v>171</v>
      </c>
    </row>
    <row r="28" spans="1:5" ht="15.75" customHeight="1" x14ac:dyDescent="0.25">
      <c r="A28" s="8">
        <v>26</v>
      </c>
      <c r="B28" s="10" t="s">
        <v>172</v>
      </c>
      <c r="C28" s="10" t="s">
        <v>173</v>
      </c>
      <c r="D28" s="10" t="s">
        <v>175</v>
      </c>
      <c r="E28" s="10" t="s">
        <v>176</v>
      </c>
    </row>
    <row r="29" spans="1:5" ht="15.75" customHeight="1" x14ac:dyDescent="0.25">
      <c r="A29" s="5">
        <v>27</v>
      </c>
      <c r="B29" s="6" t="s">
        <v>177</v>
      </c>
      <c r="C29" s="6" t="s">
        <v>178</v>
      </c>
      <c r="D29" s="6" t="s">
        <v>179</v>
      </c>
      <c r="E29" s="6" t="s">
        <v>180</v>
      </c>
    </row>
    <row r="30" spans="1:5" ht="15.75" customHeight="1" x14ac:dyDescent="0.25">
      <c r="A30" s="8">
        <v>28</v>
      </c>
      <c r="B30" s="10" t="s">
        <v>181</v>
      </c>
      <c r="C30" s="10" t="s">
        <v>182</v>
      </c>
      <c r="D30" s="10" t="s">
        <v>183</v>
      </c>
      <c r="E30" s="10" t="s">
        <v>185</v>
      </c>
    </row>
    <row r="31" spans="1:5" ht="15.75" customHeight="1" x14ac:dyDescent="0.25">
      <c r="A31" s="5">
        <v>29</v>
      </c>
      <c r="B31" s="6" t="s">
        <v>186</v>
      </c>
      <c r="C31" s="6" t="s">
        <v>187</v>
      </c>
      <c r="D31" s="6" t="s">
        <v>188</v>
      </c>
      <c r="E31" s="6" t="s">
        <v>189</v>
      </c>
    </row>
    <row r="32" spans="1:5" ht="15.75" customHeight="1" x14ac:dyDescent="0.25">
      <c r="A32" s="8">
        <v>30</v>
      </c>
      <c r="B32" s="10" t="s">
        <v>191</v>
      </c>
      <c r="C32" s="10" t="s">
        <v>192</v>
      </c>
      <c r="D32" s="10" t="s">
        <v>193</v>
      </c>
      <c r="E32" s="10" t="s">
        <v>194</v>
      </c>
    </row>
    <row r="33" spans="1:5" ht="15.75" customHeight="1" x14ac:dyDescent="0.25">
      <c r="A33" s="5">
        <v>31</v>
      </c>
      <c r="B33" s="6" t="s">
        <v>196</v>
      </c>
      <c r="C33" s="6" t="s">
        <v>197</v>
      </c>
      <c r="D33" s="6" t="s">
        <v>198</v>
      </c>
      <c r="E33" s="6" t="s">
        <v>200</v>
      </c>
    </row>
    <row r="34" spans="1:5" ht="15.75" customHeight="1" x14ac:dyDescent="0.25">
      <c r="A34" s="8">
        <v>32</v>
      </c>
      <c r="B34" s="10" t="s">
        <v>201</v>
      </c>
      <c r="C34" s="10" t="s">
        <v>202</v>
      </c>
      <c r="D34" s="10" t="s">
        <v>203</v>
      </c>
      <c r="E34" s="10" t="s">
        <v>204</v>
      </c>
    </row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14.42578125" defaultRowHeight="15" customHeight="1" x14ac:dyDescent="0.25"/>
  <cols>
    <col min="1" max="1" width="7.28515625" bestFit="1" customWidth="1"/>
    <col min="2" max="2" width="13.140625" bestFit="1" customWidth="1"/>
    <col min="3" max="3" width="4" bestFit="1" customWidth="1"/>
    <col min="4" max="4" width="55.140625" bestFit="1" customWidth="1"/>
    <col min="5" max="5" width="56.7109375" bestFit="1" customWidth="1"/>
    <col min="6" max="6" width="11.140625" bestFit="1" customWidth="1"/>
    <col min="7" max="7" width="10.7109375" bestFit="1" customWidth="1"/>
    <col min="8" max="8" width="13.28515625" bestFit="1" customWidth="1"/>
    <col min="9" max="9" width="156" bestFit="1" customWidth="1"/>
    <col min="10" max="10" width="10.42578125" bestFit="1" customWidth="1"/>
    <col min="11" max="11" width="26.85546875" bestFit="1" customWidth="1"/>
    <col min="12" max="26" width="8.7109375" customWidth="1"/>
  </cols>
  <sheetData>
    <row r="1" spans="1:11" x14ac:dyDescent="0.25">
      <c r="A1" s="2" t="s">
        <v>4</v>
      </c>
      <c r="B1" s="2" t="s">
        <v>23</v>
      </c>
      <c r="C1" s="2" t="s">
        <v>25</v>
      </c>
      <c r="D1" s="2" t="s">
        <v>6</v>
      </c>
      <c r="E1" s="2" t="s">
        <v>29</v>
      </c>
      <c r="F1" s="2" t="s">
        <v>31</v>
      </c>
      <c r="G1" s="2" t="s">
        <v>35</v>
      </c>
      <c r="H1" s="2" t="s">
        <v>37</v>
      </c>
      <c r="I1" s="2" t="s">
        <v>38</v>
      </c>
      <c r="J1" s="2" t="s">
        <v>18</v>
      </c>
      <c r="K1" s="2" t="s">
        <v>41</v>
      </c>
    </row>
    <row r="2" spans="1:11" ht="25.5" x14ac:dyDescent="0.25">
      <c r="A2" s="11">
        <v>1</v>
      </c>
      <c r="B2" s="11" t="s">
        <v>56</v>
      </c>
      <c r="C2" s="11">
        <v>1</v>
      </c>
      <c r="D2" s="12" t="s">
        <v>16</v>
      </c>
      <c r="E2" s="14" t="s">
        <v>61</v>
      </c>
      <c r="F2" s="11" t="s">
        <v>65</v>
      </c>
      <c r="G2" s="11" t="s">
        <v>72</v>
      </c>
      <c r="H2" s="18" t="s">
        <v>73</v>
      </c>
      <c r="I2" s="14" t="s">
        <v>95</v>
      </c>
      <c r="J2" s="19" t="s">
        <v>92</v>
      </c>
      <c r="K2" s="20" t="s">
        <v>104</v>
      </c>
    </row>
    <row r="3" spans="1:11" x14ac:dyDescent="0.25">
      <c r="A3" s="11">
        <v>1</v>
      </c>
      <c r="B3" s="11" t="s">
        <v>56</v>
      </c>
      <c r="C3" s="11">
        <v>2</v>
      </c>
      <c r="D3" s="12" t="s">
        <v>16</v>
      </c>
      <c r="E3" s="14" t="s">
        <v>114</v>
      </c>
      <c r="F3" s="11" t="s">
        <v>65</v>
      </c>
      <c r="G3" s="11" t="s">
        <v>72</v>
      </c>
      <c r="H3" s="18" t="s">
        <v>73</v>
      </c>
      <c r="I3" s="14" t="s">
        <v>126</v>
      </c>
      <c r="J3" s="19" t="s">
        <v>92</v>
      </c>
      <c r="K3" s="20"/>
    </row>
    <row r="4" spans="1:11" x14ac:dyDescent="0.25">
      <c r="A4" s="11">
        <v>1</v>
      </c>
      <c r="B4" s="11" t="s">
        <v>56</v>
      </c>
      <c r="C4" s="11">
        <v>3</v>
      </c>
      <c r="D4" s="12" t="s">
        <v>16</v>
      </c>
      <c r="E4" s="14" t="s">
        <v>136</v>
      </c>
      <c r="F4" s="11" t="s">
        <v>65</v>
      </c>
      <c r="G4" s="11" t="s">
        <v>72</v>
      </c>
      <c r="H4" s="18" t="s">
        <v>73</v>
      </c>
      <c r="I4" s="14" t="s">
        <v>126</v>
      </c>
      <c r="J4" s="19" t="s">
        <v>92</v>
      </c>
      <c r="K4" s="20"/>
    </row>
    <row r="5" spans="1:11" x14ac:dyDescent="0.25">
      <c r="A5" s="11">
        <v>1</v>
      </c>
      <c r="B5" s="11" t="s">
        <v>56</v>
      </c>
      <c r="C5" s="11">
        <v>4</v>
      </c>
      <c r="D5" s="12" t="s">
        <v>16</v>
      </c>
      <c r="E5" s="14" t="s">
        <v>155</v>
      </c>
      <c r="F5" s="11" t="s">
        <v>65</v>
      </c>
      <c r="G5" s="11" t="s">
        <v>72</v>
      </c>
      <c r="H5" s="18" t="s">
        <v>73</v>
      </c>
      <c r="I5" s="14" t="s">
        <v>126</v>
      </c>
      <c r="J5" s="19" t="s">
        <v>92</v>
      </c>
      <c r="K5" s="20"/>
    </row>
    <row r="6" spans="1:11" x14ac:dyDescent="0.25">
      <c r="A6" s="11">
        <v>1</v>
      </c>
      <c r="B6" s="11" t="s">
        <v>56</v>
      </c>
      <c r="C6" s="11">
        <v>5</v>
      </c>
      <c r="D6" s="12" t="s">
        <v>16</v>
      </c>
      <c r="E6" s="14" t="s">
        <v>174</v>
      </c>
      <c r="F6" s="11" t="s">
        <v>65</v>
      </c>
      <c r="G6" s="11" t="s">
        <v>72</v>
      </c>
      <c r="H6" s="18" t="s">
        <v>73</v>
      </c>
      <c r="I6" s="14" t="s">
        <v>126</v>
      </c>
      <c r="J6" s="19" t="s">
        <v>92</v>
      </c>
      <c r="K6" s="20"/>
    </row>
    <row r="7" spans="1:11" x14ac:dyDescent="0.25">
      <c r="A7" s="7">
        <v>1</v>
      </c>
      <c r="B7" s="7" t="s">
        <v>190</v>
      </c>
      <c r="C7" s="7">
        <v>1</v>
      </c>
      <c r="D7" s="21" t="s">
        <v>16</v>
      </c>
      <c r="E7" s="9" t="s">
        <v>195</v>
      </c>
      <c r="F7" s="7" t="s">
        <v>65</v>
      </c>
      <c r="G7" s="7" t="s">
        <v>72</v>
      </c>
      <c r="H7" s="22" t="s">
        <v>73</v>
      </c>
      <c r="I7" s="9" t="s">
        <v>205</v>
      </c>
      <c r="J7" s="19" t="s">
        <v>92</v>
      </c>
      <c r="K7" s="20"/>
    </row>
    <row r="8" spans="1:11" x14ac:dyDescent="0.25">
      <c r="A8" s="7">
        <v>1</v>
      </c>
      <c r="B8" s="7" t="s">
        <v>190</v>
      </c>
      <c r="C8" s="7">
        <v>2</v>
      </c>
      <c r="D8" s="21" t="s">
        <v>16</v>
      </c>
      <c r="E8" s="9" t="s">
        <v>207</v>
      </c>
      <c r="F8" s="7" t="s">
        <v>65</v>
      </c>
      <c r="G8" s="7" t="s">
        <v>72</v>
      </c>
      <c r="H8" s="22" t="s">
        <v>73</v>
      </c>
      <c r="I8" s="9" t="s">
        <v>126</v>
      </c>
      <c r="J8" s="19" t="s">
        <v>92</v>
      </c>
      <c r="K8" s="20"/>
    </row>
    <row r="9" spans="1:11" x14ac:dyDescent="0.25">
      <c r="A9" s="7">
        <v>1</v>
      </c>
      <c r="B9" s="7" t="s">
        <v>190</v>
      </c>
      <c r="C9" s="7">
        <v>3</v>
      </c>
      <c r="D9" s="21" t="s">
        <v>16</v>
      </c>
      <c r="E9" s="9" t="s">
        <v>209</v>
      </c>
      <c r="F9" s="7" t="s">
        <v>65</v>
      </c>
      <c r="G9" s="7" t="s">
        <v>72</v>
      </c>
      <c r="H9" s="22" t="s">
        <v>73</v>
      </c>
      <c r="I9" s="9" t="s">
        <v>126</v>
      </c>
      <c r="J9" s="19" t="s">
        <v>92</v>
      </c>
      <c r="K9" s="20"/>
    </row>
    <row r="10" spans="1:11" x14ac:dyDescent="0.25">
      <c r="A10" s="7">
        <v>1</v>
      </c>
      <c r="B10" s="7" t="s">
        <v>190</v>
      </c>
      <c r="C10" s="7">
        <v>4</v>
      </c>
      <c r="D10" s="21" t="s">
        <v>16</v>
      </c>
      <c r="E10" s="9" t="s">
        <v>211</v>
      </c>
      <c r="F10" s="7" t="s">
        <v>212</v>
      </c>
      <c r="G10" s="7" t="s">
        <v>213</v>
      </c>
      <c r="H10" s="22" t="s">
        <v>73</v>
      </c>
      <c r="I10" s="9" t="s">
        <v>22</v>
      </c>
      <c r="J10" s="19" t="s">
        <v>92</v>
      </c>
      <c r="K10" s="20"/>
    </row>
    <row r="11" spans="1:11" x14ac:dyDescent="0.25">
      <c r="A11" s="7">
        <v>1</v>
      </c>
      <c r="B11" s="7" t="s">
        <v>190</v>
      </c>
      <c r="C11" s="7">
        <v>5</v>
      </c>
      <c r="D11" s="21" t="s">
        <v>16</v>
      </c>
      <c r="E11" s="9" t="s">
        <v>215</v>
      </c>
      <c r="F11" s="7" t="s">
        <v>212</v>
      </c>
      <c r="G11" s="7" t="s">
        <v>213</v>
      </c>
      <c r="H11" s="22" t="s">
        <v>73</v>
      </c>
      <c r="I11" s="9" t="s">
        <v>22</v>
      </c>
      <c r="J11" s="19" t="s">
        <v>92</v>
      </c>
      <c r="K11" s="20"/>
    </row>
    <row r="12" spans="1:11" x14ac:dyDescent="0.25">
      <c r="A12" s="7">
        <v>1</v>
      </c>
      <c r="B12" s="7" t="s">
        <v>190</v>
      </c>
      <c r="C12" s="7">
        <v>6</v>
      </c>
      <c r="D12" s="21" t="s">
        <v>16</v>
      </c>
      <c r="E12" s="9" t="s">
        <v>216</v>
      </c>
      <c r="F12" s="7" t="s">
        <v>212</v>
      </c>
      <c r="G12" s="7" t="s">
        <v>213</v>
      </c>
      <c r="H12" s="22" t="s">
        <v>73</v>
      </c>
      <c r="I12" s="9" t="s">
        <v>22</v>
      </c>
      <c r="J12" s="19" t="s">
        <v>92</v>
      </c>
      <c r="K12" s="20"/>
    </row>
    <row r="13" spans="1:11" x14ac:dyDescent="0.25">
      <c r="A13" s="7">
        <v>1</v>
      </c>
      <c r="B13" s="7" t="s">
        <v>190</v>
      </c>
      <c r="C13" s="7">
        <v>7</v>
      </c>
      <c r="D13" s="21" t="s">
        <v>16</v>
      </c>
      <c r="E13" s="9" t="s">
        <v>218</v>
      </c>
      <c r="F13" s="7" t="s">
        <v>212</v>
      </c>
      <c r="G13" s="7" t="s">
        <v>213</v>
      </c>
      <c r="H13" s="22" t="s">
        <v>73</v>
      </c>
      <c r="I13" s="9" t="s">
        <v>22</v>
      </c>
      <c r="J13" s="19" t="s">
        <v>129</v>
      </c>
      <c r="K13" s="20"/>
    </row>
    <row r="14" spans="1:11" x14ac:dyDescent="0.25">
      <c r="A14" s="7">
        <v>1</v>
      </c>
      <c r="B14" s="7" t="s">
        <v>190</v>
      </c>
      <c r="C14" s="7">
        <v>8</v>
      </c>
      <c r="D14" s="21" t="s">
        <v>16</v>
      </c>
      <c r="E14" s="9" t="s">
        <v>220</v>
      </c>
      <c r="F14" s="7" t="s">
        <v>212</v>
      </c>
      <c r="G14" s="7" t="s">
        <v>213</v>
      </c>
      <c r="H14" s="22" t="s">
        <v>73</v>
      </c>
      <c r="I14" s="9" t="s">
        <v>22</v>
      </c>
      <c r="J14" s="19" t="s">
        <v>129</v>
      </c>
      <c r="K14" s="20"/>
    </row>
    <row r="15" spans="1:11" x14ac:dyDescent="0.25">
      <c r="A15" s="7">
        <v>1</v>
      </c>
      <c r="B15" s="7" t="s">
        <v>190</v>
      </c>
      <c r="C15" s="7">
        <v>9</v>
      </c>
      <c r="D15" s="21" t="s">
        <v>16</v>
      </c>
      <c r="E15" s="9" t="s">
        <v>223</v>
      </c>
      <c r="F15" s="7" t="s">
        <v>212</v>
      </c>
      <c r="G15" s="7" t="s">
        <v>213</v>
      </c>
      <c r="H15" s="22" t="s">
        <v>73</v>
      </c>
      <c r="I15" s="9" t="s">
        <v>22</v>
      </c>
      <c r="J15" s="19" t="s">
        <v>129</v>
      </c>
      <c r="K15" s="20"/>
    </row>
    <row r="16" spans="1:11" x14ac:dyDescent="0.25">
      <c r="A16" s="7">
        <v>1</v>
      </c>
      <c r="B16" s="7" t="s">
        <v>190</v>
      </c>
      <c r="C16" s="7">
        <v>10</v>
      </c>
      <c r="D16" s="21" t="s">
        <v>16</v>
      </c>
      <c r="E16" s="9" t="s">
        <v>225</v>
      </c>
      <c r="F16" s="7" t="s">
        <v>212</v>
      </c>
      <c r="G16" s="7" t="s">
        <v>226</v>
      </c>
      <c r="H16" s="22" t="s">
        <v>73</v>
      </c>
      <c r="I16" s="9" t="s">
        <v>22</v>
      </c>
      <c r="J16" s="19" t="s">
        <v>129</v>
      </c>
      <c r="K16" s="20"/>
    </row>
    <row r="17" spans="1:11" x14ac:dyDescent="0.25">
      <c r="A17" s="11">
        <v>2</v>
      </c>
      <c r="B17" s="11" t="s">
        <v>56</v>
      </c>
      <c r="C17" s="11">
        <v>1</v>
      </c>
      <c r="D17" s="12" t="s">
        <v>27</v>
      </c>
      <c r="E17" s="14" t="s">
        <v>228</v>
      </c>
      <c r="F17" s="11" t="s">
        <v>212</v>
      </c>
      <c r="G17" s="11" t="s">
        <v>213</v>
      </c>
      <c r="H17" s="18" t="s">
        <v>73</v>
      </c>
      <c r="I17" s="14" t="s">
        <v>36</v>
      </c>
      <c r="J17" s="19" t="s">
        <v>129</v>
      </c>
      <c r="K17" s="20"/>
    </row>
    <row r="18" spans="1:11" x14ac:dyDescent="0.25">
      <c r="A18" s="11">
        <v>2</v>
      </c>
      <c r="B18" s="11" t="s">
        <v>56</v>
      </c>
      <c r="C18" s="11">
        <v>2</v>
      </c>
      <c r="D18" s="12" t="s">
        <v>27</v>
      </c>
      <c r="E18" s="14" t="s">
        <v>233</v>
      </c>
      <c r="F18" s="11" t="s">
        <v>212</v>
      </c>
      <c r="G18" s="11" t="s">
        <v>213</v>
      </c>
      <c r="H18" s="18" t="s">
        <v>73</v>
      </c>
      <c r="I18" s="14" t="s">
        <v>36</v>
      </c>
      <c r="J18" s="19" t="s">
        <v>129</v>
      </c>
      <c r="K18" s="20"/>
    </row>
    <row r="19" spans="1:11" x14ac:dyDescent="0.25">
      <c r="A19" s="11">
        <v>2</v>
      </c>
      <c r="B19" s="11" t="s">
        <v>56</v>
      </c>
      <c r="C19" s="11">
        <v>3</v>
      </c>
      <c r="D19" s="12" t="s">
        <v>27</v>
      </c>
      <c r="E19" s="14" t="s">
        <v>235</v>
      </c>
      <c r="F19" s="11" t="s">
        <v>65</v>
      </c>
      <c r="G19" s="11" t="s">
        <v>236</v>
      </c>
      <c r="H19" s="18" t="s">
        <v>73</v>
      </c>
      <c r="I19" s="14" t="s">
        <v>240</v>
      </c>
      <c r="J19" s="19" t="s">
        <v>129</v>
      </c>
      <c r="K19" s="20"/>
    </row>
    <row r="20" spans="1:11" x14ac:dyDescent="0.25">
      <c r="A20" s="11">
        <v>2</v>
      </c>
      <c r="B20" s="11" t="s">
        <v>56</v>
      </c>
      <c r="C20" s="11">
        <v>4</v>
      </c>
      <c r="D20" s="12" t="s">
        <v>27</v>
      </c>
      <c r="E20" s="14" t="s">
        <v>241</v>
      </c>
      <c r="F20" s="11" t="s">
        <v>65</v>
      </c>
      <c r="G20" s="11" t="s">
        <v>236</v>
      </c>
      <c r="H20" s="18" t="s">
        <v>73</v>
      </c>
      <c r="I20" s="14" t="s">
        <v>242</v>
      </c>
      <c r="J20" s="19" t="s">
        <v>129</v>
      </c>
      <c r="K20" s="20"/>
    </row>
    <row r="21" spans="1:11" ht="15.75" customHeight="1" x14ac:dyDescent="0.25">
      <c r="A21" s="11">
        <v>2</v>
      </c>
      <c r="B21" s="11" t="s">
        <v>56</v>
      </c>
      <c r="C21" s="11">
        <v>5</v>
      </c>
      <c r="D21" s="12" t="s">
        <v>27</v>
      </c>
      <c r="E21" s="14" t="s">
        <v>243</v>
      </c>
      <c r="F21" s="11" t="s">
        <v>65</v>
      </c>
      <c r="G21" s="11" t="s">
        <v>244</v>
      </c>
      <c r="H21" s="18" t="s">
        <v>73</v>
      </c>
      <c r="I21" s="14" t="s">
        <v>245</v>
      </c>
      <c r="J21" s="19" t="s">
        <v>129</v>
      </c>
      <c r="K21" s="20"/>
    </row>
    <row r="22" spans="1:11" ht="15.75" customHeight="1" x14ac:dyDescent="0.25">
      <c r="A22" s="7">
        <v>2</v>
      </c>
      <c r="B22" s="7" t="s">
        <v>190</v>
      </c>
      <c r="C22" s="7">
        <v>1</v>
      </c>
      <c r="D22" s="21" t="s">
        <v>27</v>
      </c>
      <c r="E22" s="9" t="s">
        <v>246</v>
      </c>
      <c r="F22" s="7" t="s">
        <v>65</v>
      </c>
      <c r="G22" s="7" t="s">
        <v>244</v>
      </c>
      <c r="H22" s="22" t="s">
        <v>73</v>
      </c>
      <c r="I22" s="9" t="s">
        <v>247</v>
      </c>
      <c r="J22" s="19" t="s">
        <v>129</v>
      </c>
      <c r="K22" s="20"/>
    </row>
    <row r="23" spans="1:11" ht="15.75" customHeight="1" x14ac:dyDescent="0.25">
      <c r="A23" s="7">
        <v>2</v>
      </c>
      <c r="B23" s="7" t="s">
        <v>190</v>
      </c>
      <c r="C23" s="7">
        <v>2</v>
      </c>
      <c r="D23" s="21" t="s">
        <v>27</v>
      </c>
      <c r="E23" s="9" t="s">
        <v>248</v>
      </c>
      <c r="F23" s="7" t="s">
        <v>65</v>
      </c>
      <c r="G23" s="7" t="s">
        <v>244</v>
      </c>
      <c r="H23" s="22" t="s">
        <v>73</v>
      </c>
      <c r="I23" s="9" t="s">
        <v>249</v>
      </c>
      <c r="J23" s="19" t="s">
        <v>129</v>
      </c>
      <c r="K23" s="20"/>
    </row>
    <row r="24" spans="1:11" ht="15.75" customHeight="1" x14ac:dyDescent="0.25">
      <c r="A24" s="7">
        <v>2</v>
      </c>
      <c r="B24" s="7" t="s">
        <v>190</v>
      </c>
      <c r="C24" s="7">
        <v>3</v>
      </c>
      <c r="D24" s="21" t="s">
        <v>27</v>
      </c>
      <c r="E24" s="9" t="s">
        <v>250</v>
      </c>
      <c r="F24" s="7" t="s">
        <v>65</v>
      </c>
      <c r="G24" s="7" t="s">
        <v>244</v>
      </c>
      <c r="H24" s="22" t="s">
        <v>73</v>
      </c>
      <c r="I24" s="9" t="s">
        <v>251</v>
      </c>
      <c r="J24" s="19" t="s">
        <v>129</v>
      </c>
      <c r="K24" s="20"/>
    </row>
    <row r="25" spans="1:11" ht="15.75" customHeight="1" x14ac:dyDescent="0.25">
      <c r="A25" s="7">
        <v>2</v>
      </c>
      <c r="B25" s="7" t="s">
        <v>190</v>
      </c>
      <c r="C25" s="7">
        <v>4</v>
      </c>
      <c r="D25" s="21" t="s">
        <v>27</v>
      </c>
      <c r="E25" s="9" t="s">
        <v>252</v>
      </c>
      <c r="F25" s="7" t="s">
        <v>65</v>
      </c>
      <c r="G25" s="7" t="s">
        <v>253</v>
      </c>
      <c r="H25" s="22" t="s">
        <v>73</v>
      </c>
      <c r="I25" s="9" t="s">
        <v>254</v>
      </c>
      <c r="J25" s="19" t="s">
        <v>129</v>
      </c>
      <c r="K25" s="20"/>
    </row>
    <row r="26" spans="1:11" ht="15.75" customHeight="1" x14ac:dyDescent="0.25">
      <c r="A26" s="7">
        <v>2</v>
      </c>
      <c r="B26" s="7" t="s">
        <v>190</v>
      </c>
      <c r="C26" s="7">
        <v>5</v>
      </c>
      <c r="D26" s="21" t="s">
        <v>27</v>
      </c>
      <c r="E26" s="9" t="s">
        <v>255</v>
      </c>
      <c r="F26" s="7" t="s">
        <v>65</v>
      </c>
      <c r="G26" s="7" t="s">
        <v>253</v>
      </c>
      <c r="H26" s="22" t="s">
        <v>73</v>
      </c>
      <c r="I26" s="9" t="s">
        <v>256</v>
      </c>
      <c r="J26" s="19" t="s">
        <v>129</v>
      </c>
      <c r="K26" s="20"/>
    </row>
    <row r="27" spans="1:11" ht="15.75" customHeight="1" x14ac:dyDescent="0.25">
      <c r="A27" s="7">
        <v>2</v>
      </c>
      <c r="B27" s="7" t="s">
        <v>190</v>
      </c>
      <c r="C27" s="7">
        <v>6</v>
      </c>
      <c r="D27" s="21" t="s">
        <v>27</v>
      </c>
      <c r="E27" s="9" t="s">
        <v>257</v>
      </c>
      <c r="F27" s="7" t="s">
        <v>65</v>
      </c>
      <c r="G27" s="7" t="s">
        <v>258</v>
      </c>
      <c r="H27" s="22" t="s">
        <v>73</v>
      </c>
      <c r="I27" s="9" t="s">
        <v>259</v>
      </c>
      <c r="J27" s="19" t="s">
        <v>129</v>
      </c>
      <c r="K27" s="20"/>
    </row>
    <row r="28" spans="1:11" ht="15.75" customHeight="1" x14ac:dyDescent="0.25">
      <c r="A28" s="7">
        <v>2</v>
      </c>
      <c r="B28" s="7" t="s">
        <v>190</v>
      </c>
      <c r="C28" s="7">
        <v>7</v>
      </c>
      <c r="D28" s="21" t="s">
        <v>27</v>
      </c>
      <c r="E28" s="9" t="s">
        <v>260</v>
      </c>
      <c r="F28" s="7" t="s">
        <v>65</v>
      </c>
      <c r="G28" s="7" t="s">
        <v>261</v>
      </c>
      <c r="H28" s="22" t="s">
        <v>73</v>
      </c>
      <c r="I28" s="9" t="s">
        <v>262</v>
      </c>
      <c r="J28" s="19" t="s">
        <v>129</v>
      </c>
      <c r="K28" s="20"/>
    </row>
    <row r="29" spans="1:11" ht="15.75" customHeight="1" x14ac:dyDescent="0.25">
      <c r="A29" s="7">
        <v>2</v>
      </c>
      <c r="B29" s="7" t="s">
        <v>190</v>
      </c>
      <c r="C29" s="7">
        <v>8</v>
      </c>
      <c r="D29" s="21" t="s">
        <v>27</v>
      </c>
      <c r="E29" s="9" t="s">
        <v>263</v>
      </c>
      <c r="F29" s="7" t="s">
        <v>212</v>
      </c>
      <c r="G29" s="7" t="s">
        <v>264</v>
      </c>
      <c r="H29" s="22" t="s">
        <v>73</v>
      </c>
      <c r="I29" s="9" t="s">
        <v>36</v>
      </c>
      <c r="J29" s="19" t="s">
        <v>129</v>
      </c>
      <c r="K29" s="20"/>
    </row>
    <row r="30" spans="1:11" ht="15.75" customHeight="1" x14ac:dyDescent="0.25">
      <c r="A30" s="7">
        <v>2</v>
      </c>
      <c r="B30" s="7" t="s">
        <v>190</v>
      </c>
      <c r="C30" s="7">
        <v>9</v>
      </c>
      <c r="D30" s="21" t="s">
        <v>27</v>
      </c>
      <c r="E30" s="9" t="s">
        <v>265</v>
      </c>
      <c r="F30" s="7" t="s">
        <v>65</v>
      </c>
      <c r="G30" s="7" t="s">
        <v>266</v>
      </c>
      <c r="H30" s="22" t="s">
        <v>73</v>
      </c>
      <c r="I30" s="9" t="s">
        <v>267</v>
      </c>
      <c r="J30" s="19" t="s">
        <v>129</v>
      </c>
      <c r="K30" s="20"/>
    </row>
    <row r="31" spans="1:11" ht="15.75" customHeight="1" x14ac:dyDescent="0.25">
      <c r="A31" s="7">
        <v>2</v>
      </c>
      <c r="B31" s="7" t="s">
        <v>190</v>
      </c>
      <c r="C31" s="7">
        <v>10</v>
      </c>
      <c r="D31" s="21" t="s">
        <v>27</v>
      </c>
      <c r="E31" s="9" t="s">
        <v>268</v>
      </c>
      <c r="F31" s="7" t="s">
        <v>65</v>
      </c>
      <c r="G31" s="7" t="s">
        <v>269</v>
      </c>
      <c r="H31" s="22" t="s">
        <v>73</v>
      </c>
      <c r="I31" s="9" t="s">
        <v>270</v>
      </c>
      <c r="J31" s="19" t="s">
        <v>129</v>
      </c>
      <c r="K31" s="20"/>
    </row>
    <row r="32" spans="1:11" ht="15.75" customHeight="1" x14ac:dyDescent="0.25">
      <c r="A32" s="11">
        <v>3</v>
      </c>
      <c r="B32" s="11" t="s">
        <v>56</v>
      </c>
      <c r="C32" s="11">
        <v>1</v>
      </c>
      <c r="D32" s="12" t="s">
        <v>39</v>
      </c>
      <c r="E32" s="14" t="s">
        <v>271</v>
      </c>
      <c r="F32" s="11" t="s">
        <v>65</v>
      </c>
      <c r="G32" s="11" t="s">
        <v>72</v>
      </c>
      <c r="H32" s="18" t="s">
        <v>73</v>
      </c>
      <c r="I32" s="14" t="s">
        <v>272</v>
      </c>
      <c r="J32" s="19" t="s">
        <v>129</v>
      </c>
      <c r="K32" s="20"/>
    </row>
    <row r="33" spans="1:11" ht="15.75" customHeight="1" x14ac:dyDescent="0.25">
      <c r="A33" s="11">
        <v>3</v>
      </c>
      <c r="B33" s="11" t="s">
        <v>56</v>
      </c>
      <c r="C33" s="11">
        <v>2</v>
      </c>
      <c r="D33" s="12" t="s">
        <v>39</v>
      </c>
      <c r="E33" s="14" t="s">
        <v>273</v>
      </c>
      <c r="F33" s="11" t="s">
        <v>65</v>
      </c>
      <c r="G33" s="11" t="s">
        <v>72</v>
      </c>
      <c r="H33" s="18" t="s">
        <v>73</v>
      </c>
      <c r="I33" s="14" t="s">
        <v>274</v>
      </c>
      <c r="J33" s="19" t="s">
        <v>129</v>
      </c>
      <c r="K33" s="20"/>
    </row>
    <row r="34" spans="1:11" ht="15.75" customHeight="1" x14ac:dyDescent="0.25">
      <c r="A34" s="11">
        <v>3</v>
      </c>
      <c r="B34" s="11" t="s">
        <v>56</v>
      </c>
      <c r="C34" s="11">
        <v>3</v>
      </c>
      <c r="D34" s="12" t="s">
        <v>39</v>
      </c>
      <c r="E34" s="14" t="s">
        <v>275</v>
      </c>
      <c r="F34" s="11" t="s">
        <v>65</v>
      </c>
      <c r="G34" s="11" t="s">
        <v>72</v>
      </c>
      <c r="H34" s="18" t="s">
        <v>73</v>
      </c>
      <c r="I34" s="14" t="s">
        <v>274</v>
      </c>
      <c r="J34" s="19" t="s">
        <v>129</v>
      </c>
      <c r="K34" s="20"/>
    </row>
    <row r="35" spans="1:11" ht="15.75" customHeight="1" x14ac:dyDescent="0.25">
      <c r="A35" s="11">
        <v>3</v>
      </c>
      <c r="B35" s="11" t="s">
        <v>56</v>
      </c>
      <c r="C35" s="11">
        <v>4</v>
      </c>
      <c r="D35" s="12" t="s">
        <v>39</v>
      </c>
      <c r="E35" s="14" t="s">
        <v>276</v>
      </c>
      <c r="F35" s="11" t="s">
        <v>65</v>
      </c>
      <c r="G35" s="11" t="s">
        <v>72</v>
      </c>
      <c r="H35" s="18" t="s">
        <v>73</v>
      </c>
      <c r="I35" s="14" t="s">
        <v>277</v>
      </c>
      <c r="J35" s="19" t="s">
        <v>129</v>
      </c>
      <c r="K35" s="20"/>
    </row>
    <row r="36" spans="1:11" ht="15.75" customHeight="1" x14ac:dyDescent="0.25">
      <c r="A36" s="11">
        <v>3</v>
      </c>
      <c r="B36" s="11" t="s">
        <v>56</v>
      </c>
      <c r="C36" s="11">
        <v>5</v>
      </c>
      <c r="D36" s="12" t="s">
        <v>39</v>
      </c>
      <c r="E36" s="14" t="s">
        <v>278</v>
      </c>
      <c r="F36" s="11" t="s">
        <v>65</v>
      </c>
      <c r="G36" s="11" t="s">
        <v>72</v>
      </c>
      <c r="H36" s="18" t="s">
        <v>73</v>
      </c>
      <c r="I36" s="14" t="s">
        <v>279</v>
      </c>
      <c r="J36" s="19" t="s">
        <v>129</v>
      </c>
      <c r="K36" s="20"/>
    </row>
    <row r="37" spans="1:11" ht="15.75" customHeight="1" x14ac:dyDescent="0.25">
      <c r="A37" s="7">
        <v>3</v>
      </c>
      <c r="B37" s="7" t="s">
        <v>190</v>
      </c>
      <c r="C37" s="7">
        <v>1</v>
      </c>
      <c r="D37" s="21" t="s">
        <v>39</v>
      </c>
      <c r="E37" s="9" t="s">
        <v>280</v>
      </c>
      <c r="F37" s="7" t="s">
        <v>65</v>
      </c>
      <c r="G37" s="7" t="s">
        <v>72</v>
      </c>
      <c r="H37" s="22" t="s">
        <v>73</v>
      </c>
      <c r="I37" s="9" t="s">
        <v>281</v>
      </c>
      <c r="J37" s="19" t="s">
        <v>129</v>
      </c>
      <c r="K37" s="20"/>
    </row>
    <row r="38" spans="1:11" ht="15.75" customHeight="1" x14ac:dyDescent="0.25">
      <c r="A38" s="7">
        <v>3</v>
      </c>
      <c r="B38" s="7" t="s">
        <v>190</v>
      </c>
      <c r="C38" s="7">
        <v>2</v>
      </c>
      <c r="D38" s="21" t="s">
        <v>39</v>
      </c>
      <c r="E38" s="9" t="s">
        <v>282</v>
      </c>
      <c r="F38" s="7" t="s">
        <v>65</v>
      </c>
      <c r="G38" s="7" t="s">
        <v>72</v>
      </c>
      <c r="H38" s="22" t="s">
        <v>73</v>
      </c>
      <c r="I38" s="9" t="s">
        <v>277</v>
      </c>
      <c r="J38" s="19" t="s">
        <v>129</v>
      </c>
      <c r="K38" s="20"/>
    </row>
    <row r="39" spans="1:11" ht="15.75" customHeight="1" x14ac:dyDescent="0.25">
      <c r="A39" s="7">
        <v>3</v>
      </c>
      <c r="B39" s="7" t="s">
        <v>190</v>
      </c>
      <c r="C39" s="7">
        <v>3</v>
      </c>
      <c r="D39" s="21" t="s">
        <v>39</v>
      </c>
      <c r="E39" s="9" t="s">
        <v>283</v>
      </c>
      <c r="F39" s="7" t="s">
        <v>65</v>
      </c>
      <c r="G39" s="7" t="s">
        <v>72</v>
      </c>
      <c r="H39" s="22" t="s">
        <v>73</v>
      </c>
      <c r="I39" s="9" t="s">
        <v>284</v>
      </c>
      <c r="J39" s="19" t="s">
        <v>129</v>
      </c>
      <c r="K39" s="20"/>
    </row>
    <row r="40" spans="1:11" ht="15.75" customHeight="1" x14ac:dyDescent="0.25">
      <c r="A40" s="7">
        <v>3</v>
      </c>
      <c r="B40" s="7" t="s">
        <v>190</v>
      </c>
      <c r="C40" s="7">
        <v>4</v>
      </c>
      <c r="D40" s="21" t="s">
        <v>39</v>
      </c>
      <c r="E40" s="9" t="s">
        <v>285</v>
      </c>
      <c r="F40" s="7" t="s">
        <v>65</v>
      </c>
      <c r="G40" s="7" t="s">
        <v>72</v>
      </c>
      <c r="H40" s="22" t="s">
        <v>73</v>
      </c>
      <c r="I40" s="9" t="s">
        <v>286</v>
      </c>
      <c r="J40" s="19" t="s">
        <v>129</v>
      </c>
      <c r="K40" s="20"/>
    </row>
    <row r="41" spans="1:11" ht="15.75" customHeight="1" x14ac:dyDescent="0.25">
      <c r="A41" s="7">
        <v>3</v>
      </c>
      <c r="B41" s="7" t="s">
        <v>190</v>
      </c>
      <c r="C41" s="7">
        <v>5</v>
      </c>
      <c r="D41" s="21" t="s">
        <v>39</v>
      </c>
      <c r="E41" s="9" t="s">
        <v>287</v>
      </c>
      <c r="F41" s="7" t="s">
        <v>65</v>
      </c>
      <c r="G41" s="7" t="s">
        <v>72</v>
      </c>
      <c r="H41" s="22" t="s">
        <v>73</v>
      </c>
      <c r="I41" s="9" t="s">
        <v>288</v>
      </c>
      <c r="J41" s="19" t="s">
        <v>129</v>
      </c>
      <c r="K41" s="20"/>
    </row>
    <row r="42" spans="1:11" ht="15.75" customHeight="1" x14ac:dyDescent="0.25">
      <c r="A42" s="7">
        <v>3</v>
      </c>
      <c r="B42" s="7" t="s">
        <v>190</v>
      </c>
      <c r="C42" s="7">
        <v>6</v>
      </c>
      <c r="D42" s="21" t="s">
        <v>39</v>
      </c>
      <c r="E42" s="9" t="s">
        <v>289</v>
      </c>
      <c r="F42" s="7" t="s">
        <v>65</v>
      </c>
      <c r="G42" s="7" t="s">
        <v>72</v>
      </c>
      <c r="H42" s="22" t="s">
        <v>73</v>
      </c>
      <c r="I42" s="9" t="s">
        <v>290</v>
      </c>
      <c r="J42" s="19" t="s">
        <v>129</v>
      </c>
      <c r="K42" s="20"/>
    </row>
    <row r="43" spans="1:11" ht="15.75" customHeight="1" x14ac:dyDescent="0.25">
      <c r="A43" s="7">
        <v>3</v>
      </c>
      <c r="B43" s="7" t="s">
        <v>190</v>
      </c>
      <c r="C43" s="7">
        <v>7</v>
      </c>
      <c r="D43" s="21" t="s">
        <v>39</v>
      </c>
      <c r="E43" s="9" t="s">
        <v>291</v>
      </c>
      <c r="F43" s="7" t="s">
        <v>212</v>
      </c>
      <c r="G43" s="7" t="s">
        <v>213</v>
      </c>
      <c r="H43" s="22" t="s">
        <v>73</v>
      </c>
      <c r="I43" s="9" t="s">
        <v>45</v>
      </c>
      <c r="J43" s="19" t="s">
        <v>129</v>
      </c>
      <c r="K43" s="20"/>
    </row>
    <row r="44" spans="1:11" ht="15.75" customHeight="1" x14ac:dyDescent="0.25">
      <c r="A44" s="7">
        <v>3</v>
      </c>
      <c r="B44" s="7" t="s">
        <v>190</v>
      </c>
      <c r="C44" s="7">
        <v>8</v>
      </c>
      <c r="D44" s="21" t="s">
        <v>39</v>
      </c>
      <c r="E44" s="9" t="s">
        <v>292</v>
      </c>
      <c r="F44" s="7" t="s">
        <v>65</v>
      </c>
      <c r="G44" s="7" t="s">
        <v>236</v>
      </c>
      <c r="H44" s="22" t="s">
        <v>73</v>
      </c>
      <c r="I44" s="9" t="s">
        <v>293</v>
      </c>
      <c r="J44" s="19" t="s">
        <v>129</v>
      </c>
      <c r="K44" s="20"/>
    </row>
    <row r="45" spans="1:11" ht="15.75" customHeight="1" x14ac:dyDescent="0.25">
      <c r="A45" s="7">
        <v>3</v>
      </c>
      <c r="B45" s="7" t="s">
        <v>190</v>
      </c>
      <c r="C45" s="7">
        <v>9</v>
      </c>
      <c r="D45" s="21" t="s">
        <v>39</v>
      </c>
      <c r="E45" s="9" t="s">
        <v>294</v>
      </c>
      <c r="F45" s="7" t="s">
        <v>65</v>
      </c>
      <c r="G45" s="7" t="s">
        <v>236</v>
      </c>
      <c r="H45" s="22" t="s">
        <v>73</v>
      </c>
      <c r="I45" s="9" t="s">
        <v>274</v>
      </c>
      <c r="J45" s="19" t="s">
        <v>129</v>
      </c>
      <c r="K45" s="20"/>
    </row>
    <row r="46" spans="1:11" ht="15.75" customHeight="1" x14ac:dyDescent="0.25">
      <c r="A46" s="7">
        <v>3</v>
      </c>
      <c r="B46" s="7" t="s">
        <v>190</v>
      </c>
      <c r="C46" s="7">
        <v>10</v>
      </c>
      <c r="D46" s="21" t="s">
        <v>39</v>
      </c>
      <c r="E46" s="9" t="s">
        <v>295</v>
      </c>
      <c r="F46" s="7" t="s">
        <v>212</v>
      </c>
      <c r="G46" s="7" t="s">
        <v>226</v>
      </c>
      <c r="H46" s="22" t="s">
        <v>73</v>
      </c>
      <c r="I46" s="9" t="s">
        <v>45</v>
      </c>
      <c r="J46" s="19" t="s">
        <v>129</v>
      </c>
      <c r="K46" s="20"/>
    </row>
    <row r="47" spans="1:11" ht="15.75" customHeight="1" x14ac:dyDescent="0.25">
      <c r="A47" s="11">
        <v>4</v>
      </c>
      <c r="B47" s="11" t="s">
        <v>56</v>
      </c>
      <c r="C47" s="11">
        <v>1</v>
      </c>
      <c r="D47" s="12" t="s">
        <v>46</v>
      </c>
      <c r="E47" s="14" t="s">
        <v>296</v>
      </c>
      <c r="F47" s="11" t="s">
        <v>212</v>
      </c>
      <c r="G47" s="11" t="s">
        <v>213</v>
      </c>
      <c r="H47" s="18" t="s">
        <v>73</v>
      </c>
      <c r="I47" s="14" t="s">
        <v>51</v>
      </c>
      <c r="J47" s="19" t="s">
        <v>129</v>
      </c>
      <c r="K47" s="20"/>
    </row>
    <row r="48" spans="1:11" ht="15.75" customHeight="1" x14ac:dyDescent="0.25">
      <c r="A48" s="11">
        <v>4</v>
      </c>
      <c r="B48" s="11" t="s">
        <v>56</v>
      </c>
      <c r="C48" s="11">
        <v>2</v>
      </c>
      <c r="D48" s="12" t="s">
        <v>46</v>
      </c>
      <c r="E48" s="14" t="s">
        <v>297</v>
      </c>
      <c r="F48" s="11" t="s">
        <v>65</v>
      </c>
      <c r="G48" s="11" t="s">
        <v>236</v>
      </c>
      <c r="H48" s="18" t="s">
        <v>73</v>
      </c>
      <c r="I48" s="14" t="s">
        <v>298</v>
      </c>
      <c r="J48" s="19" t="s">
        <v>129</v>
      </c>
      <c r="K48" s="20"/>
    </row>
    <row r="49" spans="1:11" ht="15.75" customHeight="1" x14ac:dyDescent="0.25">
      <c r="A49" s="11">
        <v>4</v>
      </c>
      <c r="B49" s="11" t="s">
        <v>56</v>
      </c>
      <c r="C49" s="11">
        <v>3</v>
      </c>
      <c r="D49" s="12" t="s">
        <v>46</v>
      </c>
      <c r="E49" s="14" t="s">
        <v>299</v>
      </c>
      <c r="F49" s="11" t="s">
        <v>65</v>
      </c>
      <c r="G49" s="11" t="s">
        <v>236</v>
      </c>
      <c r="H49" s="18" t="s">
        <v>73</v>
      </c>
      <c r="I49" s="14" t="s">
        <v>298</v>
      </c>
      <c r="J49" s="19" t="s">
        <v>129</v>
      </c>
      <c r="K49" s="20"/>
    </row>
    <row r="50" spans="1:11" ht="15.75" customHeight="1" x14ac:dyDescent="0.25">
      <c r="A50" s="11">
        <v>4</v>
      </c>
      <c r="B50" s="11" t="s">
        <v>56</v>
      </c>
      <c r="C50" s="11">
        <v>4</v>
      </c>
      <c r="D50" s="12" t="s">
        <v>46</v>
      </c>
      <c r="E50" s="14" t="s">
        <v>300</v>
      </c>
      <c r="F50" s="11" t="s">
        <v>65</v>
      </c>
      <c r="G50" s="11" t="s">
        <v>236</v>
      </c>
      <c r="H50" s="18" t="s">
        <v>73</v>
      </c>
      <c r="I50" s="14" t="s">
        <v>301</v>
      </c>
      <c r="J50" s="19" t="s">
        <v>129</v>
      </c>
      <c r="K50" s="20"/>
    </row>
    <row r="51" spans="1:11" ht="15.75" customHeight="1" x14ac:dyDescent="0.25">
      <c r="A51" s="11">
        <v>4</v>
      </c>
      <c r="B51" s="11" t="s">
        <v>56</v>
      </c>
      <c r="C51" s="11">
        <v>5</v>
      </c>
      <c r="D51" s="12" t="s">
        <v>46</v>
      </c>
      <c r="E51" s="14" t="s">
        <v>302</v>
      </c>
      <c r="F51" s="11" t="s">
        <v>65</v>
      </c>
      <c r="G51" s="11" t="s">
        <v>236</v>
      </c>
      <c r="H51" s="18" t="s">
        <v>73</v>
      </c>
      <c r="I51" s="14" t="s">
        <v>303</v>
      </c>
      <c r="J51" s="19" t="s">
        <v>129</v>
      </c>
      <c r="K51" s="20"/>
    </row>
    <row r="52" spans="1:11" ht="15.75" customHeight="1" x14ac:dyDescent="0.25">
      <c r="A52" s="7">
        <v>4</v>
      </c>
      <c r="B52" s="7" t="s">
        <v>190</v>
      </c>
      <c r="C52" s="7">
        <v>1</v>
      </c>
      <c r="D52" s="21" t="s">
        <v>46</v>
      </c>
      <c r="E52" s="9" t="s">
        <v>304</v>
      </c>
      <c r="F52" s="7" t="s">
        <v>65</v>
      </c>
      <c r="G52" s="7" t="s">
        <v>236</v>
      </c>
      <c r="H52" s="22" t="s">
        <v>73</v>
      </c>
      <c r="I52" s="9" t="s">
        <v>305</v>
      </c>
      <c r="J52" s="19" t="s">
        <v>129</v>
      </c>
      <c r="K52" s="20"/>
    </row>
    <row r="53" spans="1:11" ht="15.75" customHeight="1" x14ac:dyDescent="0.25">
      <c r="A53" s="7">
        <v>4</v>
      </c>
      <c r="B53" s="7" t="s">
        <v>190</v>
      </c>
      <c r="C53" s="7">
        <v>2</v>
      </c>
      <c r="D53" s="21" t="s">
        <v>46</v>
      </c>
      <c r="E53" s="9" t="s">
        <v>306</v>
      </c>
      <c r="F53" s="7" t="s">
        <v>65</v>
      </c>
      <c r="G53" s="7" t="s">
        <v>236</v>
      </c>
      <c r="H53" s="22" t="s">
        <v>73</v>
      </c>
      <c r="I53" s="9" t="s">
        <v>307</v>
      </c>
      <c r="J53" s="19" t="s">
        <v>129</v>
      </c>
      <c r="K53" s="20"/>
    </row>
    <row r="54" spans="1:11" ht="15.75" customHeight="1" x14ac:dyDescent="0.25">
      <c r="A54" s="7">
        <v>4</v>
      </c>
      <c r="B54" s="7" t="s">
        <v>190</v>
      </c>
      <c r="C54" s="7">
        <v>3</v>
      </c>
      <c r="D54" s="21" t="s">
        <v>46</v>
      </c>
      <c r="E54" s="9" t="s">
        <v>308</v>
      </c>
      <c r="F54" s="7" t="s">
        <v>65</v>
      </c>
      <c r="G54" s="7" t="s">
        <v>236</v>
      </c>
      <c r="H54" s="22" t="s">
        <v>73</v>
      </c>
      <c r="I54" s="9" t="s">
        <v>309</v>
      </c>
      <c r="J54" s="19" t="s">
        <v>129</v>
      </c>
      <c r="K54" s="20"/>
    </row>
    <row r="55" spans="1:11" ht="15.75" customHeight="1" x14ac:dyDescent="0.25">
      <c r="A55" s="7">
        <v>4</v>
      </c>
      <c r="B55" s="7" t="s">
        <v>190</v>
      </c>
      <c r="C55" s="7">
        <v>4</v>
      </c>
      <c r="D55" s="21" t="s">
        <v>46</v>
      </c>
      <c r="E55" s="9" t="s">
        <v>310</v>
      </c>
      <c r="F55" s="7" t="s">
        <v>65</v>
      </c>
      <c r="G55" s="7" t="s">
        <v>244</v>
      </c>
      <c r="H55" s="22" t="s">
        <v>73</v>
      </c>
      <c r="I55" s="9" t="s">
        <v>311</v>
      </c>
      <c r="J55" s="19" t="s">
        <v>129</v>
      </c>
      <c r="K55" s="20"/>
    </row>
    <row r="56" spans="1:11" ht="15.75" customHeight="1" x14ac:dyDescent="0.25">
      <c r="A56" s="7">
        <v>4</v>
      </c>
      <c r="B56" s="7" t="s">
        <v>190</v>
      </c>
      <c r="C56" s="7">
        <v>5</v>
      </c>
      <c r="D56" s="21" t="s">
        <v>46</v>
      </c>
      <c r="E56" s="9" t="s">
        <v>312</v>
      </c>
      <c r="F56" s="7" t="s">
        <v>65</v>
      </c>
      <c r="G56" s="7" t="s">
        <v>244</v>
      </c>
      <c r="H56" s="22" t="s">
        <v>73</v>
      </c>
      <c r="I56" s="9" t="s">
        <v>313</v>
      </c>
      <c r="J56" s="19" t="s">
        <v>129</v>
      </c>
      <c r="K56" s="20"/>
    </row>
    <row r="57" spans="1:11" ht="15.75" customHeight="1" x14ac:dyDescent="0.25">
      <c r="A57" s="7">
        <v>4</v>
      </c>
      <c r="B57" s="7" t="s">
        <v>190</v>
      </c>
      <c r="C57" s="7">
        <v>6</v>
      </c>
      <c r="D57" s="21" t="s">
        <v>46</v>
      </c>
      <c r="E57" s="9" t="s">
        <v>314</v>
      </c>
      <c r="F57" s="7" t="s">
        <v>65</v>
      </c>
      <c r="G57" s="7" t="s">
        <v>244</v>
      </c>
      <c r="H57" s="22" t="s">
        <v>73</v>
      </c>
      <c r="I57" s="9" t="s">
        <v>315</v>
      </c>
      <c r="J57" s="19" t="s">
        <v>129</v>
      </c>
      <c r="K57" s="20"/>
    </row>
    <row r="58" spans="1:11" ht="15.75" customHeight="1" x14ac:dyDescent="0.25">
      <c r="A58" s="7">
        <v>4</v>
      </c>
      <c r="B58" s="7" t="s">
        <v>190</v>
      </c>
      <c r="C58" s="7">
        <v>7</v>
      </c>
      <c r="D58" s="21" t="s">
        <v>46</v>
      </c>
      <c r="E58" s="9" t="s">
        <v>316</v>
      </c>
      <c r="F58" s="7" t="s">
        <v>65</v>
      </c>
      <c r="G58" s="7" t="s">
        <v>244</v>
      </c>
      <c r="H58" s="22" t="s">
        <v>73</v>
      </c>
      <c r="I58" s="9" t="s">
        <v>317</v>
      </c>
      <c r="J58" s="19" t="s">
        <v>129</v>
      </c>
      <c r="K58" s="20"/>
    </row>
    <row r="59" spans="1:11" ht="15.75" customHeight="1" x14ac:dyDescent="0.25">
      <c r="A59" s="7">
        <v>4</v>
      </c>
      <c r="B59" s="7" t="s">
        <v>190</v>
      </c>
      <c r="C59" s="7">
        <v>8</v>
      </c>
      <c r="D59" s="21" t="s">
        <v>46</v>
      </c>
      <c r="E59" s="9" t="s">
        <v>318</v>
      </c>
      <c r="F59" s="7" t="s">
        <v>65</v>
      </c>
      <c r="G59" s="7" t="s">
        <v>244</v>
      </c>
      <c r="H59" s="22" t="s">
        <v>73</v>
      </c>
      <c r="I59" s="9" t="s">
        <v>319</v>
      </c>
      <c r="J59" s="19" t="s">
        <v>129</v>
      </c>
      <c r="K59" s="20"/>
    </row>
    <row r="60" spans="1:11" ht="15.75" customHeight="1" x14ac:dyDescent="0.25">
      <c r="A60" s="7">
        <v>4</v>
      </c>
      <c r="B60" s="7" t="s">
        <v>190</v>
      </c>
      <c r="C60" s="7">
        <v>9</v>
      </c>
      <c r="D60" s="21" t="s">
        <v>46</v>
      </c>
      <c r="E60" s="9" t="s">
        <v>320</v>
      </c>
      <c r="F60" s="7" t="s">
        <v>212</v>
      </c>
      <c r="G60" s="7" t="s">
        <v>226</v>
      </c>
      <c r="H60" s="22" t="s">
        <v>73</v>
      </c>
      <c r="I60" s="9" t="s">
        <v>51</v>
      </c>
      <c r="J60" s="19" t="s">
        <v>129</v>
      </c>
      <c r="K60" s="20"/>
    </row>
    <row r="61" spans="1:11" ht="15.75" customHeight="1" x14ac:dyDescent="0.25">
      <c r="A61" s="7">
        <v>4</v>
      </c>
      <c r="B61" s="7" t="s">
        <v>190</v>
      </c>
      <c r="C61" s="7">
        <v>10</v>
      </c>
      <c r="D61" s="21" t="s">
        <v>46</v>
      </c>
      <c r="E61" s="9" t="s">
        <v>321</v>
      </c>
      <c r="F61" s="7" t="s">
        <v>212</v>
      </c>
      <c r="G61" s="7" t="s">
        <v>226</v>
      </c>
      <c r="H61" s="22" t="s">
        <v>73</v>
      </c>
      <c r="I61" s="9" t="s">
        <v>51</v>
      </c>
      <c r="J61" s="19" t="s">
        <v>129</v>
      </c>
      <c r="K61" s="20"/>
    </row>
    <row r="62" spans="1:11" ht="15.75" customHeight="1" x14ac:dyDescent="0.25">
      <c r="A62" s="11">
        <v>5</v>
      </c>
      <c r="B62" s="11" t="s">
        <v>56</v>
      </c>
      <c r="C62" s="11">
        <v>1</v>
      </c>
      <c r="D62" s="12" t="s">
        <v>52</v>
      </c>
      <c r="E62" s="14" t="s">
        <v>322</v>
      </c>
      <c r="F62" s="11" t="s">
        <v>65</v>
      </c>
      <c r="G62" s="11" t="s">
        <v>253</v>
      </c>
      <c r="H62" s="18" t="s">
        <v>73</v>
      </c>
      <c r="I62" s="14" t="s">
        <v>323</v>
      </c>
      <c r="J62" s="19" t="s">
        <v>129</v>
      </c>
      <c r="K62" s="20"/>
    </row>
    <row r="63" spans="1:11" ht="15.75" customHeight="1" x14ac:dyDescent="0.25">
      <c r="A63" s="11">
        <v>5</v>
      </c>
      <c r="B63" s="11" t="s">
        <v>56</v>
      </c>
      <c r="C63" s="11">
        <v>2</v>
      </c>
      <c r="D63" s="12" t="s">
        <v>52</v>
      </c>
      <c r="E63" s="14" t="s">
        <v>324</v>
      </c>
      <c r="F63" s="11" t="s">
        <v>65</v>
      </c>
      <c r="G63" s="11" t="s">
        <v>253</v>
      </c>
      <c r="H63" s="18" t="s">
        <v>73</v>
      </c>
      <c r="I63" s="14" t="s">
        <v>325</v>
      </c>
      <c r="J63" s="19" t="s">
        <v>129</v>
      </c>
      <c r="K63" s="20"/>
    </row>
    <row r="64" spans="1:11" ht="15.75" customHeight="1" x14ac:dyDescent="0.25">
      <c r="A64" s="11">
        <v>5</v>
      </c>
      <c r="B64" s="11" t="s">
        <v>56</v>
      </c>
      <c r="C64" s="11">
        <v>3</v>
      </c>
      <c r="D64" s="12" t="s">
        <v>52</v>
      </c>
      <c r="E64" s="14" t="s">
        <v>326</v>
      </c>
      <c r="F64" s="11" t="s">
        <v>65</v>
      </c>
      <c r="G64" s="11" t="s">
        <v>253</v>
      </c>
      <c r="H64" s="18" t="s">
        <v>73</v>
      </c>
      <c r="I64" s="14" t="s">
        <v>327</v>
      </c>
      <c r="J64" s="19" t="s">
        <v>129</v>
      </c>
      <c r="K64" s="20"/>
    </row>
    <row r="65" spans="1:11" ht="15.75" customHeight="1" x14ac:dyDescent="0.25">
      <c r="A65" s="11">
        <v>5</v>
      </c>
      <c r="B65" s="11" t="s">
        <v>56</v>
      </c>
      <c r="C65" s="11">
        <v>4</v>
      </c>
      <c r="D65" s="12" t="s">
        <v>52</v>
      </c>
      <c r="E65" s="14" t="s">
        <v>328</v>
      </c>
      <c r="F65" s="11" t="s">
        <v>65</v>
      </c>
      <c r="G65" s="11" t="s">
        <v>253</v>
      </c>
      <c r="H65" s="18" t="s">
        <v>73</v>
      </c>
      <c r="I65" s="14" t="s">
        <v>329</v>
      </c>
      <c r="J65" s="19" t="s">
        <v>129</v>
      </c>
      <c r="K65" s="20"/>
    </row>
    <row r="66" spans="1:11" ht="15.75" customHeight="1" x14ac:dyDescent="0.25">
      <c r="A66" s="11">
        <v>5</v>
      </c>
      <c r="B66" s="11" t="s">
        <v>56</v>
      </c>
      <c r="C66" s="11">
        <v>5</v>
      </c>
      <c r="D66" s="12" t="s">
        <v>52</v>
      </c>
      <c r="E66" s="14" t="s">
        <v>330</v>
      </c>
      <c r="F66" s="11" t="s">
        <v>65</v>
      </c>
      <c r="G66" s="11" t="s">
        <v>253</v>
      </c>
      <c r="H66" s="18" t="s">
        <v>73</v>
      </c>
      <c r="I66" s="14" t="s">
        <v>331</v>
      </c>
      <c r="J66" s="19" t="s">
        <v>129</v>
      </c>
      <c r="K66" s="20"/>
    </row>
    <row r="67" spans="1:11" ht="15.75" customHeight="1" x14ac:dyDescent="0.25">
      <c r="A67" s="7">
        <v>5</v>
      </c>
      <c r="B67" s="7" t="s">
        <v>190</v>
      </c>
      <c r="C67" s="7">
        <v>1</v>
      </c>
      <c r="D67" s="21" t="s">
        <v>52</v>
      </c>
      <c r="E67" s="9" t="s">
        <v>332</v>
      </c>
      <c r="F67" s="7" t="s">
        <v>65</v>
      </c>
      <c r="G67" s="7" t="s">
        <v>253</v>
      </c>
      <c r="H67" s="22" t="s">
        <v>73</v>
      </c>
      <c r="I67" s="9" t="s">
        <v>333</v>
      </c>
      <c r="J67" s="19" t="s">
        <v>129</v>
      </c>
      <c r="K67" s="20"/>
    </row>
    <row r="68" spans="1:11" ht="15.75" customHeight="1" x14ac:dyDescent="0.25">
      <c r="A68" s="7">
        <v>5</v>
      </c>
      <c r="B68" s="7" t="s">
        <v>190</v>
      </c>
      <c r="C68" s="7">
        <v>2</v>
      </c>
      <c r="D68" s="21" t="s">
        <v>52</v>
      </c>
      <c r="E68" s="9" t="s">
        <v>334</v>
      </c>
      <c r="F68" s="7" t="s">
        <v>65</v>
      </c>
      <c r="G68" s="7" t="s">
        <v>253</v>
      </c>
      <c r="H68" s="22" t="s">
        <v>73</v>
      </c>
      <c r="I68" s="9" t="s">
        <v>335</v>
      </c>
      <c r="J68" s="19" t="s">
        <v>129</v>
      </c>
      <c r="K68" s="20"/>
    </row>
    <row r="69" spans="1:11" ht="15.75" customHeight="1" x14ac:dyDescent="0.25">
      <c r="A69" s="7">
        <v>5</v>
      </c>
      <c r="B69" s="7" t="s">
        <v>190</v>
      </c>
      <c r="C69" s="7">
        <v>3</v>
      </c>
      <c r="D69" s="21" t="s">
        <v>52</v>
      </c>
      <c r="E69" s="9" t="s">
        <v>336</v>
      </c>
      <c r="F69" s="7" t="s">
        <v>65</v>
      </c>
      <c r="G69" s="7" t="s">
        <v>253</v>
      </c>
      <c r="H69" s="22" t="s">
        <v>73</v>
      </c>
      <c r="I69" s="9" t="s">
        <v>337</v>
      </c>
      <c r="J69" s="19" t="s">
        <v>129</v>
      </c>
      <c r="K69" s="20"/>
    </row>
    <row r="70" spans="1:11" ht="15.75" customHeight="1" x14ac:dyDescent="0.25">
      <c r="A70" s="7">
        <v>5</v>
      </c>
      <c r="B70" s="7" t="s">
        <v>190</v>
      </c>
      <c r="C70" s="7">
        <v>4</v>
      </c>
      <c r="D70" s="21" t="s">
        <v>52</v>
      </c>
      <c r="E70" s="9" t="s">
        <v>338</v>
      </c>
      <c r="F70" s="7" t="s">
        <v>65</v>
      </c>
      <c r="G70" s="7" t="s">
        <v>253</v>
      </c>
      <c r="H70" s="22" t="s">
        <v>73</v>
      </c>
      <c r="I70" s="9" t="s">
        <v>339</v>
      </c>
      <c r="J70" s="19" t="s">
        <v>129</v>
      </c>
      <c r="K70" s="20"/>
    </row>
    <row r="71" spans="1:11" ht="15.75" customHeight="1" x14ac:dyDescent="0.25">
      <c r="A71" s="7">
        <v>5</v>
      </c>
      <c r="B71" s="7" t="s">
        <v>190</v>
      </c>
      <c r="C71" s="7">
        <v>5</v>
      </c>
      <c r="D71" s="21" t="s">
        <v>52</v>
      </c>
      <c r="E71" s="9" t="s">
        <v>340</v>
      </c>
      <c r="F71" s="7" t="s">
        <v>65</v>
      </c>
      <c r="G71" s="7" t="s">
        <v>253</v>
      </c>
      <c r="H71" s="22" t="s">
        <v>73</v>
      </c>
      <c r="I71" s="9" t="s">
        <v>341</v>
      </c>
      <c r="J71" s="19" t="s">
        <v>129</v>
      </c>
      <c r="K71" s="20"/>
    </row>
    <row r="72" spans="1:11" ht="15.75" customHeight="1" x14ac:dyDescent="0.25">
      <c r="A72" s="7">
        <v>5</v>
      </c>
      <c r="B72" s="7" t="s">
        <v>190</v>
      </c>
      <c r="C72" s="7">
        <v>6</v>
      </c>
      <c r="D72" s="21" t="s">
        <v>52</v>
      </c>
      <c r="E72" s="9" t="s">
        <v>342</v>
      </c>
      <c r="F72" s="7" t="s">
        <v>65</v>
      </c>
      <c r="G72" s="7" t="s">
        <v>253</v>
      </c>
      <c r="H72" s="22" t="s">
        <v>73</v>
      </c>
      <c r="I72" s="9" t="s">
        <v>343</v>
      </c>
      <c r="J72" s="19" t="s">
        <v>129</v>
      </c>
      <c r="K72" s="20"/>
    </row>
    <row r="73" spans="1:11" ht="15.75" customHeight="1" x14ac:dyDescent="0.25">
      <c r="A73" s="7">
        <v>5</v>
      </c>
      <c r="B73" s="7" t="s">
        <v>190</v>
      </c>
      <c r="C73" s="7">
        <v>7</v>
      </c>
      <c r="D73" s="21" t="s">
        <v>52</v>
      </c>
      <c r="E73" s="9" t="s">
        <v>344</v>
      </c>
      <c r="F73" s="7" t="s">
        <v>65</v>
      </c>
      <c r="G73" s="7" t="s">
        <v>253</v>
      </c>
      <c r="H73" s="22" t="s">
        <v>73</v>
      </c>
      <c r="I73" s="9" t="s">
        <v>345</v>
      </c>
      <c r="J73" s="19" t="s">
        <v>129</v>
      </c>
      <c r="K73" s="20"/>
    </row>
    <row r="74" spans="1:11" ht="15.75" customHeight="1" x14ac:dyDescent="0.25">
      <c r="A74" s="7">
        <v>5</v>
      </c>
      <c r="B74" s="7" t="s">
        <v>190</v>
      </c>
      <c r="C74" s="7">
        <v>8</v>
      </c>
      <c r="D74" s="21" t="s">
        <v>52</v>
      </c>
      <c r="E74" s="9" t="s">
        <v>346</v>
      </c>
      <c r="F74" s="7" t="s">
        <v>65</v>
      </c>
      <c r="G74" s="7" t="s">
        <v>253</v>
      </c>
      <c r="H74" s="22" t="s">
        <v>73</v>
      </c>
      <c r="I74" s="9" t="s">
        <v>347</v>
      </c>
      <c r="J74" s="19" t="s">
        <v>129</v>
      </c>
      <c r="K74" s="20"/>
    </row>
    <row r="75" spans="1:11" ht="15.75" customHeight="1" x14ac:dyDescent="0.25">
      <c r="A75" s="7">
        <v>5</v>
      </c>
      <c r="B75" s="7" t="s">
        <v>190</v>
      </c>
      <c r="C75" s="7">
        <v>9</v>
      </c>
      <c r="D75" s="21" t="s">
        <v>52</v>
      </c>
      <c r="E75" s="9" t="s">
        <v>348</v>
      </c>
      <c r="F75" s="7" t="s">
        <v>65</v>
      </c>
      <c r="G75" s="7" t="s">
        <v>253</v>
      </c>
      <c r="H75" s="22" t="s">
        <v>73</v>
      </c>
      <c r="I75" s="9" t="s">
        <v>349</v>
      </c>
      <c r="J75" s="19" t="s">
        <v>129</v>
      </c>
      <c r="K75" s="20"/>
    </row>
    <row r="76" spans="1:11" ht="15.75" customHeight="1" x14ac:dyDescent="0.25">
      <c r="A76" s="7">
        <v>5</v>
      </c>
      <c r="B76" s="7" t="s">
        <v>190</v>
      </c>
      <c r="C76" s="7">
        <v>10</v>
      </c>
      <c r="D76" s="21" t="s">
        <v>52</v>
      </c>
      <c r="E76" s="9" t="s">
        <v>350</v>
      </c>
      <c r="F76" s="7" t="s">
        <v>65</v>
      </c>
      <c r="G76" s="7" t="s">
        <v>253</v>
      </c>
      <c r="H76" s="22" t="s">
        <v>73</v>
      </c>
      <c r="I76" s="9" t="s">
        <v>329</v>
      </c>
      <c r="J76" s="19" t="s">
        <v>129</v>
      </c>
      <c r="K76" s="20"/>
    </row>
    <row r="77" spans="1:11" ht="15.75" customHeight="1" x14ac:dyDescent="0.25">
      <c r="A77" s="11">
        <v>6</v>
      </c>
      <c r="B77" s="11" t="s">
        <v>56</v>
      </c>
      <c r="C77" s="11">
        <v>1</v>
      </c>
      <c r="D77" s="12" t="s">
        <v>60</v>
      </c>
      <c r="E77" s="14" t="s">
        <v>351</v>
      </c>
      <c r="F77" s="11" t="s">
        <v>212</v>
      </c>
      <c r="G77" s="11" t="s">
        <v>213</v>
      </c>
      <c r="H77" s="18" t="s">
        <v>73</v>
      </c>
      <c r="I77" s="14" t="s">
        <v>64</v>
      </c>
      <c r="J77" s="19" t="s">
        <v>129</v>
      </c>
      <c r="K77" s="20"/>
    </row>
    <row r="78" spans="1:11" ht="15.75" customHeight="1" x14ac:dyDescent="0.25">
      <c r="A78" s="11">
        <v>6</v>
      </c>
      <c r="B78" s="11" t="s">
        <v>56</v>
      </c>
      <c r="C78" s="11">
        <v>2</v>
      </c>
      <c r="D78" s="12" t="s">
        <v>60</v>
      </c>
      <c r="E78" s="14" t="s">
        <v>352</v>
      </c>
      <c r="F78" s="11" t="s">
        <v>212</v>
      </c>
      <c r="G78" s="11" t="s">
        <v>213</v>
      </c>
      <c r="H78" s="18" t="s">
        <v>73</v>
      </c>
      <c r="I78" s="14" t="s">
        <v>64</v>
      </c>
      <c r="J78" s="19" t="s">
        <v>129</v>
      </c>
      <c r="K78" s="20"/>
    </row>
    <row r="79" spans="1:11" ht="15.75" customHeight="1" x14ac:dyDescent="0.25">
      <c r="A79" s="11">
        <v>6</v>
      </c>
      <c r="B79" s="11" t="s">
        <v>56</v>
      </c>
      <c r="C79" s="11">
        <v>3</v>
      </c>
      <c r="D79" s="12" t="s">
        <v>60</v>
      </c>
      <c r="E79" s="14" t="s">
        <v>353</v>
      </c>
      <c r="F79" s="11" t="s">
        <v>212</v>
      </c>
      <c r="G79" s="11" t="s">
        <v>213</v>
      </c>
      <c r="H79" s="18" t="s">
        <v>73</v>
      </c>
      <c r="I79" s="14" t="s">
        <v>64</v>
      </c>
      <c r="J79" s="19" t="s">
        <v>129</v>
      </c>
      <c r="K79" s="20"/>
    </row>
    <row r="80" spans="1:11" ht="15.75" customHeight="1" x14ac:dyDescent="0.25">
      <c r="A80" s="11">
        <v>6</v>
      </c>
      <c r="B80" s="11" t="s">
        <v>56</v>
      </c>
      <c r="C80" s="11">
        <v>4</v>
      </c>
      <c r="D80" s="12" t="s">
        <v>60</v>
      </c>
      <c r="E80" s="14" t="s">
        <v>354</v>
      </c>
      <c r="F80" s="11" t="s">
        <v>65</v>
      </c>
      <c r="G80" s="11" t="s">
        <v>236</v>
      </c>
      <c r="H80" s="18" t="s">
        <v>73</v>
      </c>
      <c r="I80" s="14" t="s">
        <v>355</v>
      </c>
      <c r="J80" s="19" t="s">
        <v>129</v>
      </c>
      <c r="K80" s="20"/>
    </row>
    <row r="81" spans="1:11" ht="15.75" customHeight="1" x14ac:dyDescent="0.25">
      <c r="A81" s="11">
        <v>6</v>
      </c>
      <c r="B81" s="11" t="s">
        <v>56</v>
      </c>
      <c r="C81" s="11">
        <v>5</v>
      </c>
      <c r="D81" s="12" t="s">
        <v>60</v>
      </c>
      <c r="E81" s="14" t="s">
        <v>356</v>
      </c>
      <c r="F81" s="11" t="s">
        <v>65</v>
      </c>
      <c r="G81" s="11" t="s">
        <v>236</v>
      </c>
      <c r="H81" s="18" t="s">
        <v>73</v>
      </c>
      <c r="I81" s="14" t="s">
        <v>357</v>
      </c>
      <c r="J81" s="19" t="s">
        <v>129</v>
      </c>
      <c r="K81" s="20"/>
    </row>
    <row r="82" spans="1:11" ht="15.75" customHeight="1" x14ac:dyDescent="0.25">
      <c r="A82" s="7">
        <v>6</v>
      </c>
      <c r="B82" s="7" t="s">
        <v>190</v>
      </c>
      <c r="C82" s="7">
        <v>1</v>
      </c>
      <c r="D82" s="21" t="s">
        <v>60</v>
      </c>
      <c r="E82" s="9" t="s">
        <v>358</v>
      </c>
      <c r="F82" s="7" t="s">
        <v>65</v>
      </c>
      <c r="G82" s="7" t="s">
        <v>236</v>
      </c>
      <c r="H82" s="22" t="s">
        <v>73</v>
      </c>
      <c r="I82" s="9" t="s">
        <v>359</v>
      </c>
      <c r="J82" s="19" t="s">
        <v>129</v>
      </c>
      <c r="K82" s="20"/>
    </row>
    <row r="83" spans="1:11" ht="15.75" customHeight="1" x14ac:dyDescent="0.25">
      <c r="A83" s="7">
        <v>6</v>
      </c>
      <c r="B83" s="7" t="s">
        <v>190</v>
      </c>
      <c r="C83" s="7">
        <v>2</v>
      </c>
      <c r="D83" s="21" t="s">
        <v>60</v>
      </c>
      <c r="E83" s="9" t="s">
        <v>360</v>
      </c>
      <c r="F83" s="7" t="s">
        <v>65</v>
      </c>
      <c r="G83" s="7" t="s">
        <v>236</v>
      </c>
      <c r="H83" s="22" t="s">
        <v>73</v>
      </c>
      <c r="I83" s="9" t="s">
        <v>361</v>
      </c>
      <c r="J83" s="19" t="s">
        <v>129</v>
      </c>
      <c r="K83" s="20"/>
    </row>
    <row r="84" spans="1:11" ht="15.75" customHeight="1" x14ac:dyDescent="0.25">
      <c r="A84" s="7">
        <v>6</v>
      </c>
      <c r="B84" s="7" t="s">
        <v>190</v>
      </c>
      <c r="C84" s="7">
        <v>3</v>
      </c>
      <c r="D84" s="21" t="s">
        <v>60</v>
      </c>
      <c r="E84" s="9" t="s">
        <v>362</v>
      </c>
      <c r="F84" s="7" t="s">
        <v>65</v>
      </c>
      <c r="G84" s="7" t="s">
        <v>244</v>
      </c>
      <c r="H84" s="22" t="s">
        <v>73</v>
      </c>
      <c r="I84" s="9" t="s">
        <v>363</v>
      </c>
      <c r="J84" s="19" t="s">
        <v>129</v>
      </c>
      <c r="K84" s="20"/>
    </row>
    <row r="85" spans="1:11" ht="15.75" customHeight="1" x14ac:dyDescent="0.25">
      <c r="A85" s="7">
        <v>6</v>
      </c>
      <c r="B85" s="7" t="s">
        <v>190</v>
      </c>
      <c r="C85" s="7">
        <v>4</v>
      </c>
      <c r="D85" s="21" t="s">
        <v>60</v>
      </c>
      <c r="E85" s="9" t="s">
        <v>364</v>
      </c>
      <c r="F85" s="7" t="s">
        <v>65</v>
      </c>
      <c r="G85" s="7" t="s">
        <v>244</v>
      </c>
      <c r="H85" s="22" t="s">
        <v>73</v>
      </c>
      <c r="I85" s="9" t="s">
        <v>365</v>
      </c>
      <c r="J85" s="19" t="s">
        <v>129</v>
      </c>
      <c r="K85" s="20"/>
    </row>
    <row r="86" spans="1:11" ht="15.75" customHeight="1" x14ac:dyDescent="0.25">
      <c r="A86" s="7">
        <v>6</v>
      </c>
      <c r="B86" s="7" t="s">
        <v>190</v>
      </c>
      <c r="C86" s="7">
        <v>5</v>
      </c>
      <c r="D86" s="21" t="s">
        <v>60</v>
      </c>
      <c r="E86" s="9" t="s">
        <v>366</v>
      </c>
      <c r="F86" s="7" t="s">
        <v>212</v>
      </c>
      <c r="G86" s="7" t="s">
        <v>226</v>
      </c>
      <c r="H86" s="22" t="s">
        <v>73</v>
      </c>
      <c r="I86" s="9" t="s">
        <v>64</v>
      </c>
      <c r="J86" s="19" t="s">
        <v>129</v>
      </c>
      <c r="K86" s="20"/>
    </row>
    <row r="87" spans="1:11" ht="15.75" customHeight="1" x14ac:dyDescent="0.25">
      <c r="A87" s="7">
        <v>6</v>
      </c>
      <c r="B87" s="7" t="s">
        <v>190</v>
      </c>
      <c r="C87" s="7">
        <v>6</v>
      </c>
      <c r="D87" s="21" t="s">
        <v>60</v>
      </c>
      <c r="E87" s="9" t="s">
        <v>367</v>
      </c>
      <c r="F87" s="7" t="s">
        <v>212</v>
      </c>
      <c r="G87" s="7" t="s">
        <v>226</v>
      </c>
      <c r="H87" s="22" t="s">
        <v>73</v>
      </c>
      <c r="I87" s="9" t="s">
        <v>64</v>
      </c>
      <c r="J87" s="19" t="s">
        <v>129</v>
      </c>
      <c r="K87" s="20"/>
    </row>
    <row r="88" spans="1:11" ht="15.75" customHeight="1" x14ac:dyDescent="0.25">
      <c r="A88" s="7">
        <v>6</v>
      </c>
      <c r="B88" s="7" t="s">
        <v>190</v>
      </c>
      <c r="C88" s="7">
        <v>7</v>
      </c>
      <c r="D88" s="21" t="s">
        <v>60</v>
      </c>
      <c r="E88" s="9" t="s">
        <v>368</v>
      </c>
      <c r="F88" s="7" t="s">
        <v>212</v>
      </c>
      <c r="G88" s="7" t="s">
        <v>226</v>
      </c>
      <c r="H88" s="22" t="s">
        <v>73</v>
      </c>
      <c r="I88" s="9" t="s">
        <v>64</v>
      </c>
      <c r="J88" s="19" t="s">
        <v>129</v>
      </c>
      <c r="K88" s="20"/>
    </row>
    <row r="89" spans="1:11" ht="15.75" customHeight="1" x14ac:dyDescent="0.25">
      <c r="A89" s="7">
        <v>6</v>
      </c>
      <c r="B89" s="7" t="s">
        <v>190</v>
      </c>
      <c r="C89" s="7">
        <v>8</v>
      </c>
      <c r="D89" s="21" t="s">
        <v>60</v>
      </c>
      <c r="E89" s="9" t="s">
        <v>369</v>
      </c>
      <c r="F89" s="7" t="s">
        <v>65</v>
      </c>
      <c r="G89" s="7" t="s">
        <v>253</v>
      </c>
      <c r="H89" s="22" t="s">
        <v>73</v>
      </c>
      <c r="I89" s="9" t="s">
        <v>370</v>
      </c>
      <c r="J89" s="19" t="s">
        <v>129</v>
      </c>
      <c r="K89" s="20"/>
    </row>
    <row r="90" spans="1:11" ht="15.75" customHeight="1" x14ac:dyDescent="0.25">
      <c r="A90" s="7">
        <v>6</v>
      </c>
      <c r="B90" s="7" t="s">
        <v>190</v>
      </c>
      <c r="C90" s="7">
        <v>9</v>
      </c>
      <c r="D90" s="21" t="s">
        <v>60</v>
      </c>
      <c r="E90" s="9" t="s">
        <v>371</v>
      </c>
      <c r="F90" s="7" t="s">
        <v>65</v>
      </c>
      <c r="G90" s="7" t="s">
        <v>253</v>
      </c>
      <c r="H90" s="22" t="s">
        <v>73</v>
      </c>
      <c r="I90" s="9" t="s">
        <v>372</v>
      </c>
      <c r="J90" s="19" t="s">
        <v>129</v>
      </c>
      <c r="K90" s="20"/>
    </row>
    <row r="91" spans="1:11" ht="15.75" customHeight="1" x14ac:dyDescent="0.25">
      <c r="A91" s="7">
        <v>6</v>
      </c>
      <c r="B91" s="7" t="s">
        <v>190</v>
      </c>
      <c r="C91" s="7">
        <v>10</v>
      </c>
      <c r="D91" s="21" t="s">
        <v>60</v>
      </c>
      <c r="E91" s="9" t="s">
        <v>373</v>
      </c>
      <c r="F91" s="7" t="s">
        <v>65</v>
      </c>
      <c r="G91" s="7" t="s">
        <v>253</v>
      </c>
      <c r="H91" s="22" t="s">
        <v>73</v>
      </c>
      <c r="I91" s="9" t="s">
        <v>374</v>
      </c>
      <c r="J91" s="19" t="s">
        <v>129</v>
      </c>
      <c r="K91" s="20"/>
    </row>
    <row r="92" spans="1:11" ht="15.75" customHeight="1" x14ac:dyDescent="0.25">
      <c r="A92" s="11">
        <v>7</v>
      </c>
      <c r="B92" s="11" t="s">
        <v>56</v>
      </c>
      <c r="C92" s="11">
        <v>1</v>
      </c>
      <c r="D92" s="12" t="s">
        <v>66</v>
      </c>
      <c r="E92" s="14" t="s">
        <v>375</v>
      </c>
      <c r="F92" s="11" t="s">
        <v>65</v>
      </c>
      <c r="G92" s="11" t="s">
        <v>72</v>
      </c>
      <c r="H92" s="18" t="s">
        <v>73</v>
      </c>
      <c r="I92" s="14" t="s">
        <v>376</v>
      </c>
      <c r="J92" s="19" t="s">
        <v>129</v>
      </c>
      <c r="K92" s="20"/>
    </row>
    <row r="93" spans="1:11" ht="15.75" customHeight="1" x14ac:dyDescent="0.25">
      <c r="A93" s="11">
        <v>7</v>
      </c>
      <c r="B93" s="11" t="s">
        <v>56</v>
      </c>
      <c r="C93" s="11">
        <v>2</v>
      </c>
      <c r="D93" s="12" t="s">
        <v>66</v>
      </c>
      <c r="E93" s="14" t="s">
        <v>377</v>
      </c>
      <c r="F93" s="11" t="s">
        <v>65</v>
      </c>
      <c r="G93" s="11" t="s">
        <v>72</v>
      </c>
      <c r="H93" s="18" t="s">
        <v>73</v>
      </c>
      <c r="I93" s="14" t="s">
        <v>378</v>
      </c>
      <c r="J93" s="19" t="s">
        <v>129</v>
      </c>
      <c r="K93" s="20"/>
    </row>
    <row r="94" spans="1:11" ht="15.75" customHeight="1" x14ac:dyDescent="0.25">
      <c r="A94" s="11">
        <v>7</v>
      </c>
      <c r="B94" s="11" t="s">
        <v>56</v>
      </c>
      <c r="C94" s="11">
        <v>3</v>
      </c>
      <c r="D94" s="12" t="s">
        <v>66</v>
      </c>
      <c r="E94" s="14" t="s">
        <v>379</v>
      </c>
      <c r="F94" s="11" t="s">
        <v>65</v>
      </c>
      <c r="G94" s="11" t="s">
        <v>72</v>
      </c>
      <c r="H94" s="18" t="s">
        <v>73</v>
      </c>
      <c r="I94" s="14" t="s">
        <v>380</v>
      </c>
      <c r="J94" s="19" t="s">
        <v>129</v>
      </c>
      <c r="K94" s="20"/>
    </row>
    <row r="95" spans="1:11" ht="15.75" customHeight="1" x14ac:dyDescent="0.25">
      <c r="A95" s="11">
        <v>7</v>
      </c>
      <c r="B95" s="11" t="s">
        <v>56</v>
      </c>
      <c r="C95" s="11">
        <v>4</v>
      </c>
      <c r="D95" s="12" t="s">
        <v>66</v>
      </c>
      <c r="E95" s="14" t="s">
        <v>381</v>
      </c>
      <c r="F95" s="11" t="s">
        <v>65</v>
      </c>
      <c r="G95" s="11" t="s">
        <v>72</v>
      </c>
      <c r="H95" s="18" t="s">
        <v>73</v>
      </c>
      <c r="I95" s="14" t="s">
        <v>378</v>
      </c>
      <c r="J95" s="19" t="s">
        <v>129</v>
      </c>
      <c r="K95" s="20"/>
    </row>
    <row r="96" spans="1:11" ht="15.75" customHeight="1" x14ac:dyDescent="0.25">
      <c r="A96" s="11">
        <v>7</v>
      </c>
      <c r="B96" s="11" t="s">
        <v>56</v>
      </c>
      <c r="C96" s="11">
        <v>5</v>
      </c>
      <c r="D96" s="12" t="s">
        <v>66</v>
      </c>
      <c r="E96" s="14" t="s">
        <v>382</v>
      </c>
      <c r="F96" s="11" t="s">
        <v>65</v>
      </c>
      <c r="G96" s="11" t="s">
        <v>72</v>
      </c>
      <c r="H96" s="18" t="s">
        <v>73</v>
      </c>
      <c r="I96" s="14" t="s">
        <v>383</v>
      </c>
      <c r="J96" s="19" t="s">
        <v>129</v>
      </c>
      <c r="K96" s="20"/>
    </row>
    <row r="97" spans="1:11" ht="15.75" customHeight="1" x14ac:dyDescent="0.25">
      <c r="A97" s="7">
        <v>7</v>
      </c>
      <c r="B97" s="7" t="s">
        <v>190</v>
      </c>
      <c r="C97" s="7">
        <v>1</v>
      </c>
      <c r="D97" s="21" t="s">
        <v>66</v>
      </c>
      <c r="E97" s="9" t="s">
        <v>384</v>
      </c>
      <c r="F97" s="7" t="s">
        <v>65</v>
      </c>
      <c r="G97" s="7" t="s">
        <v>72</v>
      </c>
      <c r="H97" s="22" t="s">
        <v>73</v>
      </c>
      <c r="I97" s="9" t="s">
        <v>378</v>
      </c>
      <c r="J97" s="19" t="s">
        <v>129</v>
      </c>
      <c r="K97" s="20"/>
    </row>
    <row r="98" spans="1:11" ht="15.75" customHeight="1" x14ac:dyDescent="0.25">
      <c r="A98" s="7">
        <v>7</v>
      </c>
      <c r="B98" s="7" t="s">
        <v>190</v>
      </c>
      <c r="C98" s="7">
        <v>2</v>
      </c>
      <c r="D98" s="21" t="s">
        <v>66</v>
      </c>
      <c r="E98" s="9" t="s">
        <v>385</v>
      </c>
      <c r="F98" s="7" t="s">
        <v>65</v>
      </c>
      <c r="G98" s="7" t="s">
        <v>72</v>
      </c>
      <c r="H98" s="22" t="s">
        <v>73</v>
      </c>
      <c r="I98" s="9" t="s">
        <v>378</v>
      </c>
      <c r="J98" s="19" t="s">
        <v>129</v>
      </c>
      <c r="K98" s="20"/>
    </row>
    <row r="99" spans="1:11" ht="15.75" customHeight="1" x14ac:dyDescent="0.25">
      <c r="A99" s="7">
        <v>7</v>
      </c>
      <c r="B99" s="7" t="s">
        <v>190</v>
      </c>
      <c r="C99" s="7">
        <v>3</v>
      </c>
      <c r="D99" s="21" t="s">
        <v>66</v>
      </c>
      <c r="E99" s="9" t="s">
        <v>386</v>
      </c>
      <c r="F99" s="7" t="s">
        <v>65</v>
      </c>
      <c r="G99" s="7" t="s">
        <v>72</v>
      </c>
      <c r="H99" s="22" t="s">
        <v>73</v>
      </c>
      <c r="I99" s="9" t="s">
        <v>378</v>
      </c>
      <c r="J99" s="19" t="s">
        <v>129</v>
      </c>
      <c r="K99" s="20"/>
    </row>
    <row r="100" spans="1:11" ht="15.75" customHeight="1" x14ac:dyDescent="0.25">
      <c r="A100" s="7">
        <v>7</v>
      </c>
      <c r="B100" s="7" t="s">
        <v>190</v>
      </c>
      <c r="C100" s="7">
        <v>4</v>
      </c>
      <c r="D100" s="21" t="s">
        <v>66</v>
      </c>
      <c r="E100" s="9" t="s">
        <v>387</v>
      </c>
      <c r="F100" s="7" t="s">
        <v>65</v>
      </c>
      <c r="G100" s="7" t="s">
        <v>72</v>
      </c>
      <c r="H100" s="22" t="s">
        <v>73</v>
      </c>
      <c r="I100" s="9" t="s">
        <v>378</v>
      </c>
      <c r="J100" s="19" t="s">
        <v>129</v>
      </c>
      <c r="K100" s="20"/>
    </row>
    <row r="101" spans="1:11" ht="15.75" customHeight="1" x14ac:dyDescent="0.25">
      <c r="A101" s="7">
        <v>7</v>
      </c>
      <c r="B101" s="7" t="s">
        <v>190</v>
      </c>
      <c r="C101" s="7">
        <v>5</v>
      </c>
      <c r="D101" s="21" t="s">
        <v>66</v>
      </c>
      <c r="E101" s="9" t="s">
        <v>388</v>
      </c>
      <c r="F101" s="7" t="s">
        <v>65</v>
      </c>
      <c r="G101" s="7" t="s">
        <v>72</v>
      </c>
      <c r="H101" s="22" t="s">
        <v>73</v>
      </c>
      <c r="I101" s="9" t="s">
        <v>378</v>
      </c>
      <c r="J101" s="19" t="s">
        <v>129</v>
      </c>
      <c r="K101" s="20"/>
    </row>
    <row r="102" spans="1:11" ht="15.75" customHeight="1" x14ac:dyDescent="0.25">
      <c r="A102" s="7">
        <v>7</v>
      </c>
      <c r="B102" s="7" t="s">
        <v>190</v>
      </c>
      <c r="C102" s="7">
        <v>6</v>
      </c>
      <c r="D102" s="21" t="s">
        <v>66</v>
      </c>
      <c r="E102" s="9" t="s">
        <v>389</v>
      </c>
      <c r="F102" s="7" t="s">
        <v>212</v>
      </c>
      <c r="G102" s="7" t="s">
        <v>213</v>
      </c>
      <c r="H102" s="22" t="s">
        <v>73</v>
      </c>
      <c r="I102" s="9" t="s">
        <v>71</v>
      </c>
      <c r="J102" s="19" t="s">
        <v>129</v>
      </c>
      <c r="K102" s="20"/>
    </row>
    <row r="103" spans="1:11" ht="15.75" customHeight="1" x14ac:dyDescent="0.25">
      <c r="A103" s="7">
        <v>7</v>
      </c>
      <c r="B103" s="7" t="s">
        <v>190</v>
      </c>
      <c r="C103" s="7">
        <v>7</v>
      </c>
      <c r="D103" s="21" t="s">
        <v>66</v>
      </c>
      <c r="E103" s="9" t="s">
        <v>390</v>
      </c>
      <c r="F103" s="7" t="s">
        <v>212</v>
      </c>
      <c r="G103" s="7" t="s">
        <v>213</v>
      </c>
      <c r="H103" s="22" t="s">
        <v>73</v>
      </c>
      <c r="I103" s="9" t="s">
        <v>71</v>
      </c>
      <c r="J103" s="19" t="s">
        <v>129</v>
      </c>
      <c r="K103" s="20"/>
    </row>
    <row r="104" spans="1:11" ht="15.75" customHeight="1" x14ac:dyDescent="0.25">
      <c r="A104" s="7">
        <v>7</v>
      </c>
      <c r="B104" s="7" t="s">
        <v>190</v>
      </c>
      <c r="C104" s="7">
        <v>8</v>
      </c>
      <c r="D104" s="21" t="s">
        <v>66</v>
      </c>
      <c r="E104" s="9" t="s">
        <v>391</v>
      </c>
      <c r="F104" s="7" t="s">
        <v>212</v>
      </c>
      <c r="G104" s="7" t="s">
        <v>213</v>
      </c>
      <c r="H104" s="22" t="s">
        <v>73</v>
      </c>
      <c r="I104" s="9" t="s">
        <v>71</v>
      </c>
      <c r="J104" s="19" t="s">
        <v>129</v>
      </c>
      <c r="K104" s="20"/>
    </row>
    <row r="105" spans="1:11" ht="15.75" customHeight="1" x14ac:dyDescent="0.25">
      <c r="A105" s="7">
        <v>7</v>
      </c>
      <c r="B105" s="7" t="s">
        <v>190</v>
      </c>
      <c r="C105" s="7">
        <v>9</v>
      </c>
      <c r="D105" s="21" t="s">
        <v>66</v>
      </c>
      <c r="E105" s="9" t="s">
        <v>392</v>
      </c>
      <c r="F105" s="7" t="s">
        <v>212</v>
      </c>
      <c r="G105" s="7" t="s">
        <v>213</v>
      </c>
      <c r="H105" s="22" t="s">
        <v>73</v>
      </c>
      <c r="I105" s="9" t="s">
        <v>71</v>
      </c>
      <c r="J105" s="19" t="s">
        <v>129</v>
      </c>
      <c r="K105" s="20"/>
    </row>
    <row r="106" spans="1:11" ht="15.75" customHeight="1" x14ac:dyDescent="0.25">
      <c r="A106" s="7">
        <v>7</v>
      </c>
      <c r="B106" s="7" t="s">
        <v>190</v>
      </c>
      <c r="C106" s="7">
        <v>10</v>
      </c>
      <c r="D106" s="21" t="s">
        <v>66</v>
      </c>
      <c r="E106" s="9" t="s">
        <v>393</v>
      </c>
      <c r="F106" s="7" t="s">
        <v>212</v>
      </c>
      <c r="G106" s="7" t="s">
        <v>213</v>
      </c>
      <c r="H106" s="22" t="s">
        <v>73</v>
      </c>
      <c r="I106" s="9" t="s">
        <v>71</v>
      </c>
      <c r="J106" s="19" t="s">
        <v>129</v>
      </c>
      <c r="K106" s="20"/>
    </row>
    <row r="107" spans="1:11" ht="15.75" customHeight="1" x14ac:dyDescent="0.25">
      <c r="A107" s="11">
        <v>8</v>
      </c>
      <c r="B107" s="11" t="s">
        <v>56</v>
      </c>
      <c r="C107" s="11">
        <v>1</v>
      </c>
      <c r="D107" s="12" t="s">
        <v>74</v>
      </c>
      <c r="E107" s="14" t="s">
        <v>394</v>
      </c>
      <c r="F107" s="11" t="s">
        <v>212</v>
      </c>
      <c r="G107" s="11" t="s">
        <v>213</v>
      </c>
      <c r="H107" s="18" t="s">
        <v>73</v>
      </c>
      <c r="I107" s="14" t="s">
        <v>79</v>
      </c>
      <c r="J107" s="19" t="s">
        <v>129</v>
      </c>
      <c r="K107" s="20"/>
    </row>
    <row r="108" spans="1:11" ht="15.75" customHeight="1" x14ac:dyDescent="0.25">
      <c r="A108" s="11">
        <v>8</v>
      </c>
      <c r="B108" s="11" t="s">
        <v>56</v>
      </c>
      <c r="C108" s="11">
        <v>2</v>
      </c>
      <c r="D108" s="12" t="s">
        <v>74</v>
      </c>
      <c r="E108" s="14" t="s">
        <v>395</v>
      </c>
      <c r="F108" s="11" t="s">
        <v>212</v>
      </c>
      <c r="G108" s="11" t="s">
        <v>213</v>
      </c>
      <c r="H108" s="18" t="s">
        <v>73</v>
      </c>
      <c r="I108" s="14" t="s">
        <v>79</v>
      </c>
      <c r="J108" s="19" t="s">
        <v>129</v>
      </c>
      <c r="K108" s="20"/>
    </row>
    <row r="109" spans="1:11" ht="15.75" customHeight="1" x14ac:dyDescent="0.25">
      <c r="A109" s="11">
        <v>8</v>
      </c>
      <c r="B109" s="11" t="s">
        <v>56</v>
      </c>
      <c r="C109" s="11">
        <v>3</v>
      </c>
      <c r="D109" s="12" t="s">
        <v>74</v>
      </c>
      <c r="E109" s="14" t="s">
        <v>396</v>
      </c>
      <c r="F109" s="11" t="s">
        <v>212</v>
      </c>
      <c r="G109" s="11" t="s">
        <v>213</v>
      </c>
      <c r="H109" s="18" t="s">
        <v>73</v>
      </c>
      <c r="I109" s="14" t="s">
        <v>79</v>
      </c>
      <c r="J109" s="19" t="s">
        <v>129</v>
      </c>
      <c r="K109" s="20"/>
    </row>
    <row r="110" spans="1:11" ht="15.75" customHeight="1" x14ac:dyDescent="0.25">
      <c r="A110" s="11">
        <v>8</v>
      </c>
      <c r="B110" s="11" t="s">
        <v>56</v>
      </c>
      <c r="C110" s="11">
        <v>4</v>
      </c>
      <c r="D110" s="12" t="s">
        <v>74</v>
      </c>
      <c r="E110" s="14" t="s">
        <v>397</v>
      </c>
      <c r="F110" s="11" t="s">
        <v>212</v>
      </c>
      <c r="G110" s="11" t="s">
        <v>213</v>
      </c>
      <c r="H110" s="18" t="s">
        <v>73</v>
      </c>
      <c r="I110" s="14" t="s">
        <v>79</v>
      </c>
      <c r="J110" s="19" t="s">
        <v>129</v>
      </c>
      <c r="K110" s="20"/>
    </row>
    <row r="111" spans="1:11" ht="15.75" customHeight="1" x14ac:dyDescent="0.25">
      <c r="A111" s="11">
        <v>8</v>
      </c>
      <c r="B111" s="11" t="s">
        <v>56</v>
      </c>
      <c r="C111" s="11">
        <v>5</v>
      </c>
      <c r="D111" s="12" t="s">
        <v>74</v>
      </c>
      <c r="E111" s="14" t="s">
        <v>398</v>
      </c>
      <c r="F111" s="11" t="s">
        <v>212</v>
      </c>
      <c r="G111" s="11" t="s">
        <v>213</v>
      </c>
      <c r="H111" s="18" t="s">
        <v>73</v>
      </c>
      <c r="I111" s="14" t="s">
        <v>79</v>
      </c>
      <c r="J111" s="19" t="s">
        <v>129</v>
      </c>
      <c r="K111" s="20"/>
    </row>
    <row r="112" spans="1:11" ht="15.75" customHeight="1" x14ac:dyDescent="0.25">
      <c r="A112" s="7">
        <v>8</v>
      </c>
      <c r="B112" s="7" t="s">
        <v>190</v>
      </c>
      <c r="C112" s="7">
        <v>1</v>
      </c>
      <c r="D112" s="21" t="s">
        <v>74</v>
      </c>
      <c r="E112" s="9" t="s">
        <v>399</v>
      </c>
      <c r="F112" s="7" t="s">
        <v>212</v>
      </c>
      <c r="G112" s="7" t="s">
        <v>213</v>
      </c>
      <c r="H112" s="22" t="s">
        <v>73</v>
      </c>
      <c r="I112" s="9" t="s">
        <v>79</v>
      </c>
      <c r="J112" s="19" t="s">
        <v>129</v>
      </c>
      <c r="K112" s="20"/>
    </row>
    <row r="113" spans="1:11" ht="15.75" customHeight="1" x14ac:dyDescent="0.25">
      <c r="A113" s="7">
        <v>8</v>
      </c>
      <c r="B113" s="7" t="s">
        <v>190</v>
      </c>
      <c r="C113" s="7">
        <v>2</v>
      </c>
      <c r="D113" s="21" t="s">
        <v>74</v>
      </c>
      <c r="E113" s="9" t="s">
        <v>400</v>
      </c>
      <c r="F113" s="7" t="s">
        <v>212</v>
      </c>
      <c r="G113" s="7" t="s">
        <v>213</v>
      </c>
      <c r="H113" s="22" t="s">
        <v>73</v>
      </c>
      <c r="I113" s="9" t="s">
        <v>79</v>
      </c>
      <c r="J113" s="19" t="s">
        <v>129</v>
      </c>
      <c r="K113" s="20"/>
    </row>
    <row r="114" spans="1:11" ht="15.75" customHeight="1" x14ac:dyDescent="0.25">
      <c r="A114" s="7">
        <v>8</v>
      </c>
      <c r="B114" s="7" t="s">
        <v>190</v>
      </c>
      <c r="C114" s="7">
        <v>3</v>
      </c>
      <c r="D114" s="21" t="s">
        <v>74</v>
      </c>
      <c r="E114" s="9" t="s">
        <v>401</v>
      </c>
      <c r="F114" s="7" t="s">
        <v>65</v>
      </c>
      <c r="G114" s="7" t="s">
        <v>236</v>
      </c>
      <c r="H114" s="22" t="s">
        <v>73</v>
      </c>
      <c r="I114" s="9" t="s">
        <v>402</v>
      </c>
      <c r="J114" s="19" t="s">
        <v>129</v>
      </c>
      <c r="K114" s="20"/>
    </row>
    <row r="115" spans="1:11" ht="15.75" customHeight="1" x14ac:dyDescent="0.25">
      <c r="A115" s="7">
        <v>8</v>
      </c>
      <c r="B115" s="7" t="s">
        <v>190</v>
      </c>
      <c r="C115" s="7">
        <v>4</v>
      </c>
      <c r="D115" s="21" t="s">
        <v>74</v>
      </c>
      <c r="E115" s="9" t="s">
        <v>403</v>
      </c>
      <c r="F115" s="7" t="s">
        <v>65</v>
      </c>
      <c r="G115" s="7" t="s">
        <v>236</v>
      </c>
      <c r="H115" s="22" t="s">
        <v>73</v>
      </c>
      <c r="I115" s="9" t="s">
        <v>404</v>
      </c>
      <c r="J115" s="19" t="s">
        <v>129</v>
      </c>
      <c r="K115" s="20"/>
    </row>
    <row r="116" spans="1:11" ht="15.75" customHeight="1" x14ac:dyDescent="0.25">
      <c r="A116" s="7">
        <v>8</v>
      </c>
      <c r="B116" s="7" t="s">
        <v>190</v>
      </c>
      <c r="C116" s="7">
        <v>5</v>
      </c>
      <c r="D116" s="21" t="s">
        <v>74</v>
      </c>
      <c r="E116" s="9" t="s">
        <v>405</v>
      </c>
      <c r="F116" s="7" t="s">
        <v>65</v>
      </c>
      <c r="G116" s="7" t="s">
        <v>236</v>
      </c>
      <c r="H116" s="22" t="s">
        <v>73</v>
      </c>
      <c r="I116" s="9" t="s">
        <v>402</v>
      </c>
      <c r="J116" s="19" t="s">
        <v>129</v>
      </c>
      <c r="K116" s="20"/>
    </row>
    <row r="117" spans="1:11" ht="15.75" customHeight="1" x14ac:dyDescent="0.25">
      <c r="A117" s="7">
        <v>8</v>
      </c>
      <c r="B117" s="7" t="s">
        <v>190</v>
      </c>
      <c r="C117" s="7">
        <v>6</v>
      </c>
      <c r="D117" s="21" t="s">
        <v>74</v>
      </c>
      <c r="E117" s="9" t="s">
        <v>406</v>
      </c>
      <c r="F117" s="7" t="s">
        <v>65</v>
      </c>
      <c r="G117" s="7" t="s">
        <v>236</v>
      </c>
      <c r="H117" s="22" t="s">
        <v>73</v>
      </c>
      <c r="I117" s="9" t="s">
        <v>407</v>
      </c>
      <c r="J117" s="19" t="s">
        <v>129</v>
      </c>
      <c r="K117" s="20"/>
    </row>
    <row r="118" spans="1:11" ht="15.75" customHeight="1" x14ac:dyDescent="0.25">
      <c r="A118" s="7">
        <v>8</v>
      </c>
      <c r="B118" s="7" t="s">
        <v>190</v>
      </c>
      <c r="C118" s="7">
        <v>7</v>
      </c>
      <c r="D118" s="21" t="s">
        <v>74</v>
      </c>
      <c r="E118" s="9" t="s">
        <v>408</v>
      </c>
      <c r="F118" s="7" t="s">
        <v>65</v>
      </c>
      <c r="G118" s="7" t="s">
        <v>236</v>
      </c>
      <c r="H118" s="22" t="s">
        <v>73</v>
      </c>
      <c r="I118" s="9" t="s">
        <v>404</v>
      </c>
      <c r="J118" s="19" t="s">
        <v>129</v>
      </c>
      <c r="K118" s="20"/>
    </row>
    <row r="119" spans="1:11" ht="15.75" customHeight="1" x14ac:dyDescent="0.25">
      <c r="A119" s="7">
        <v>8</v>
      </c>
      <c r="B119" s="7" t="s">
        <v>190</v>
      </c>
      <c r="C119" s="7">
        <v>8</v>
      </c>
      <c r="D119" s="21" t="s">
        <v>74</v>
      </c>
      <c r="E119" s="9" t="s">
        <v>409</v>
      </c>
      <c r="F119" s="7" t="s">
        <v>65</v>
      </c>
      <c r="G119" s="7" t="s">
        <v>236</v>
      </c>
      <c r="H119" s="22" t="s">
        <v>73</v>
      </c>
      <c r="I119" s="9" t="s">
        <v>402</v>
      </c>
      <c r="J119" s="19" t="s">
        <v>129</v>
      </c>
      <c r="K119" s="20"/>
    </row>
    <row r="120" spans="1:11" ht="15.75" customHeight="1" x14ac:dyDescent="0.25">
      <c r="A120" s="7">
        <v>8</v>
      </c>
      <c r="B120" s="7" t="s">
        <v>190</v>
      </c>
      <c r="C120" s="7">
        <v>9</v>
      </c>
      <c r="D120" s="21" t="s">
        <v>74</v>
      </c>
      <c r="E120" s="9" t="s">
        <v>410</v>
      </c>
      <c r="F120" s="7" t="s">
        <v>65</v>
      </c>
      <c r="G120" s="7" t="s">
        <v>236</v>
      </c>
      <c r="H120" s="22" t="s">
        <v>73</v>
      </c>
      <c r="I120" s="9" t="s">
        <v>411</v>
      </c>
      <c r="J120" s="19" t="s">
        <v>129</v>
      </c>
      <c r="K120" s="20"/>
    </row>
    <row r="121" spans="1:11" ht="15.75" customHeight="1" x14ac:dyDescent="0.25">
      <c r="A121" s="7">
        <v>8</v>
      </c>
      <c r="B121" s="7" t="s">
        <v>190</v>
      </c>
      <c r="C121" s="7">
        <v>10</v>
      </c>
      <c r="D121" s="21" t="s">
        <v>74</v>
      </c>
      <c r="E121" s="9" t="s">
        <v>412</v>
      </c>
      <c r="F121" s="7" t="s">
        <v>65</v>
      </c>
      <c r="G121" s="7" t="s">
        <v>236</v>
      </c>
      <c r="H121" s="22" t="s">
        <v>73</v>
      </c>
      <c r="I121" s="9" t="s">
        <v>413</v>
      </c>
      <c r="J121" s="19" t="s">
        <v>129</v>
      </c>
      <c r="K121" s="20"/>
    </row>
    <row r="122" spans="1:11" ht="15.75" customHeight="1" x14ac:dyDescent="0.25">
      <c r="A122" s="11">
        <v>9</v>
      </c>
      <c r="B122" s="11" t="s">
        <v>56</v>
      </c>
      <c r="C122" s="11">
        <v>1</v>
      </c>
      <c r="D122" s="12" t="s">
        <v>80</v>
      </c>
      <c r="E122" s="14" t="s">
        <v>414</v>
      </c>
      <c r="F122" s="11" t="s">
        <v>65</v>
      </c>
      <c r="G122" s="11" t="s">
        <v>72</v>
      </c>
      <c r="H122" s="18" t="s">
        <v>73</v>
      </c>
      <c r="I122" s="14" t="s">
        <v>415</v>
      </c>
      <c r="J122" s="19" t="s">
        <v>129</v>
      </c>
      <c r="K122" s="20"/>
    </row>
    <row r="123" spans="1:11" ht="15.75" customHeight="1" x14ac:dyDescent="0.25">
      <c r="A123" s="11">
        <v>9</v>
      </c>
      <c r="B123" s="11" t="s">
        <v>56</v>
      </c>
      <c r="C123" s="11">
        <v>2</v>
      </c>
      <c r="D123" s="12" t="s">
        <v>80</v>
      </c>
      <c r="E123" s="14" t="s">
        <v>416</v>
      </c>
      <c r="F123" s="11" t="s">
        <v>65</v>
      </c>
      <c r="G123" s="11" t="s">
        <v>72</v>
      </c>
      <c r="H123" s="18" t="s">
        <v>73</v>
      </c>
      <c r="I123" s="14" t="s">
        <v>417</v>
      </c>
      <c r="J123" s="19" t="s">
        <v>129</v>
      </c>
      <c r="K123" s="20"/>
    </row>
    <row r="124" spans="1:11" ht="15.75" customHeight="1" x14ac:dyDescent="0.25">
      <c r="A124" s="11">
        <v>9</v>
      </c>
      <c r="B124" s="11" t="s">
        <v>56</v>
      </c>
      <c r="C124" s="11">
        <v>3</v>
      </c>
      <c r="D124" s="12" t="s">
        <v>80</v>
      </c>
      <c r="E124" s="14" t="s">
        <v>418</v>
      </c>
      <c r="F124" s="11" t="s">
        <v>65</v>
      </c>
      <c r="G124" s="11" t="s">
        <v>72</v>
      </c>
      <c r="H124" s="18" t="s">
        <v>73</v>
      </c>
      <c r="I124" s="14" t="s">
        <v>419</v>
      </c>
      <c r="J124" s="19" t="s">
        <v>129</v>
      </c>
      <c r="K124" s="20"/>
    </row>
    <row r="125" spans="1:11" ht="15.75" customHeight="1" x14ac:dyDescent="0.25">
      <c r="A125" s="11">
        <v>9</v>
      </c>
      <c r="B125" s="11" t="s">
        <v>56</v>
      </c>
      <c r="C125" s="11">
        <v>4</v>
      </c>
      <c r="D125" s="12" t="s">
        <v>80</v>
      </c>
      <c r="E125" s="14" t="s">
        <v>420</v>
      </c>
      <c r="F125" s="11" t="s">
        <v>65</v>
      </c>
      <c r="G125" s="11" t="s">
        <v>72</v>
      </c>
      <c r="H125" s="18" t="s">
        <v>73</v>
      </c>
      <c r="I125" s="14" t="s">
        <v>419</v>
      </c>
      <c r="J125" s="19" t="s">
        <v>129</v>
      </c>
      <c r="K125" s="20"/>
    </row>
    <row r="126" spans="1:11" ht="15.75" customHeight="1" x14ac:dyDescent="0.25">
      <c r="A126" s="11">
        <v>9</v>
      </c>
      <c r="B126" s="11" t="s">
        <v>56</v>
      </c>
      <c r="C126" s="11">
        <v>5</v>
      </c>
      <c r="D126" s="12" t="s">
        <v>80</v>
      </c>
      <c r="E126" s="14" t="s">
        <v>421</v>
      </c>
      <c r="F126" s="11" t="s">
        <v>65</v>
      </c>
      <c r="G126" s="11" t="s">
        <v>72</v>
      </c>
      <c r="H126" s="18" t="s">
        <v>73</v>
      </c>
      <c r="I126" s="14" t="s">
        <v>417</v>
      </c>
      <c r="J126" s="19" t="s">
        <v>129</v>
      </c>
      <c r="K126" s="20"/>
    </row>
    <row r="127" spans="1:11" ht="15.75" customHeight="1" x14ac:dyDescent="0.25">
      <c r="A127" s="7">
        <v>9</v>
      </c>
      <c r="B127" s="7" t="s">
        <v>190</v>
      </c>
      <c r="C127" s="7">
        <v>1</v>
      </c>
      <c r="D127" s="21" t="s">
        <v>80</v>
      </c>
      <c r="E127" s="9" t="s">
        <v>422</v>
      </c>
      <c r="F127" s="7" t="s">
        <v>65</v>
      </c>
      <c r="G127" s="7" t="s">
        <v>72</v>
      </c>
      <c r="H127" s="22" t="s">
        <v>73</v>
      </c>
      <c r="I127" s="9" t="s">
        <v>423</v>
      </c>
      <c r="J127" s="19" t="s">
        <v>129</v>
      </c>
      <c r="K127" s="20"/>
    </row>
    <row r="128" spans="1:11" ht="15.75" customHeight="1" x14ac:dyDescent="0.25">
      <c r="A128" s="7">
        <v>9</v>
      </c>
      <c r="B128" s="7" t="s">
        <v>190</v>
      </c>
      <c r="C128" s="7">
        <v>2</v>
      </c>
      <c r="D128" s="21" t="s">
        <v>80</v>
      </c>
      <c r="E128" s="9" t="s">
        <v>424</v>
      </c>
      <c r="F128" s="7" t="s">
        <v>65</v>
      </c>
      <c r="G128" s="7" t="s">
        <v>72</v>
      </c>
      <c r="H128" s="22" t="s">
        <v>73</v>
      </c>
      <c r="I128" s="9" t="s">
        <v>417</v>
      </c>
      <c r="J128" s="19" t="s">
        <v>129</v>
      </c>
      <c r="K128" s="20"/>
    </row>
    <row r="129" spans="1:11" ht="15.75" customHeight="1" x14ac:dyDescent="0.25">
      <c r="A129" s="7">
        <v>9</v>
      </c>
      <c r="B129" s="7" t="s">
        <v>190</v>
      </c>
      <c r="C129" s="7">
        <v>3</v>
      </c>
      <c r="D129" s="21" t="s">
        <v>80</v>
      </c>
      <c r="E129" s="9" t="s">
        <v>425</v>
      </c>
      <c r="F129" s="7" t="s">
        <v>65</v>
      </c>
      <c r="G129" s="7" t="s">
        <v>72</v>
      </c>
      <c r="H129" s="22" t="s">
        <v>73</v>
      </c>
      <c r="I129" s="9" t="s">
        <v>426</v>
      </c>
      <c r="J129" s="19" t="s">
        <v>129</v>
      </c>
      <c r="K129" s="20"/>
    </row>
    <row r="130" spans="1:11" ht="15.75" customHeight="1" x14ac:dyDescent="0.25">
      <c r="A130" s="7">
        <v>9</v>
      </c>
      <c r="B130" s="7" t="s">
        <v>190</v>
      </c>
      <c r="C130" s="7">
        <v>4</v>
      </c>
      <c r="D130" s="21" t="s">
        <v>80</v>
      </c>
      <c r="E130" s="9" t="s">
        <v>427</v>
      </c>
      <c r="F130" s="7" t="s">
        <v>65</v>
      </c>
      <c r="G130" s="7" t="s">
        <v>72</v>
      </c>
      <c r="H130" s="22" t="s">
        <v>73</v>
      </c>
      <c r="I130" s="9" t="s">
        <v>419</v>
      </c>
      <c r="J130" s="19" t="s">
        <v>129</v>
      </c>
      <c r="K130" s="20"/>
    </row>
    <row r="131" spans="1:11" ht="15.75" customHeight="1" x14ac:dyDescent="0.25">
      <c r="A131" s="7">
        <v>9</v>
      </c>
      <c r="B131" s="7" t="s">
        <v>190</v>
      </c>
      <c r="C131" s="7">
        <v>5</v>
      </c>
      <c r="D131" s="21" t="s">
        <v>80</v>
      </c>
      <c r="E131" s="9" t="s">
        <v>428</v>
      </c>
      <c r="F131" s="7" t="s">
        <v>65</v>
      </c>
      <c r="G131" s="7" t="s">
        <v>72</v>
      </c>
      <c r="H131" s="22" t="s">
        <v>73</v>
      </c>
      <c r="I131" s="9" t="s">
        <v>423</v>
      </c>
      <c r="J131" s="19" t="s">
        <v>129</v>
      </c>
      <c r="K131" s="20"/>
    </row>
    <row r="132" spans="1:11" ht="15.75" customHeight="1" x14ac:dyDescent="0.25">
      <c r="A132" s="7">
        <v>9</v>
      </c>
      <c r="B132" s="7" t="s">
        <v>190</v>
      </c>
      <c r="C132" s="7">
        <v>6</v>
      </c>
      <c r="D132" s="21" t="s">
        <v>80</v>
      </c>
      <c r="E132" s="9" t="s">
        <v>429</v>
      </c>
      <c r="F132" s="7" t="s">
        <v>212</v>
      </c>
      <c r="G132" s="7" t="s">
        <v>213</v>
      </c>
      <c r="H132" s="22" t="s">
        <v>73</v>
      </c>
      <c r="I132" s="9" t="s">
        <v>84</v>
      </c>
      <c r="J132" s="19" t="s">
        <v>129</v>
      </c>
      <c r="K132" s="20"/>
    </row>
    <row r="133" spans="1:11" ht="15.75" customHeight="1" x14ac:dyDescent="0.25">
      <c r="A133" s="7">
        <v>9</v>
      </c>
      <c r="B133" s="7" t="s">
        <v>190</v>
      </c>
      <c r="C133" s="7">
        <v>7</v>
      </c>
      <c r="D133" s="21" t="s">
        <v>80</v>
      </c>
      <c r="E133" s="9" t="s">
        <v>430</v>
      </c>
      <c r="F133" s="7" t="s">
        <v>212</v>
      </c>
      <c r="G133" s="7" t="s">
        <v>213</v>
      </c>
      <c r="H133" s="22" t="s">
        <v>73</v>
      </c>
      <c r="I133" s="9" t="s">
        <v>84</v>
      </c>
      <c r="J133" s="19" t="s">
        <v>129</v>
      </c>
      <c r="K133" s="20"/>
    </row>
    <row r="134" spans="1:11" ht="15.75" customHeight="1" x14ac:dyDescent="0.25">
      <c r="A134" s="7">
        <v>9</v>
      </c>
      <c r="B134" s="7" t="s">
        <v>190</v>
      </c>
      <c r="C134" s="7">
        <v>8</v>
      </c>
      <c r="D134" s="21" t="s">
        <v>80</v>
      </c>
      <c r="E134" s="9" t="s">
        <v>431</v>
      </c>
      <c r="F134" s="7" t="s">
        <v>212</v>
      </c>
      <c r="G134" s="7" t="s">
        <v>213</v>
      </c>
      <c r="H134" s="22" t="s">
        <v>73</v>
      </c>
      <c r="I134" s="9" t="s">
        <v>84</v>
      </c>
      <c r="J134" s="19" t="s">
        <v>129</v>
      </c>
      <c r="K134" s="20"/>
    </row>
    <row r="135" spans="1:11" ht="15.75" customHeight="1" x14ac:dyDescent="0.25">
      <c r="A135" s="7">
        <v>9</v>
      </c>
      <c r="B135" s="7" t="s">
        <v>190</v>
      </c>
      <c r="C135" s="7">
        <v>9</v>
      </c>
      <c r="D135" s="21" t="s">
        <v>80</v>
      </c>
      <c r="E135" s="9" t="s">
        <v>432</v>
      </c>
      <c r="F135" s="7" t="s">
        <v>212</v>
      </c>
      <c r="G135" s="7" t="s">
        <v>213</v>
      </c>
      <c r="H135" s="22" t="s">
        <v>73</v>
      </c>
      <c r="I135" s="9" t="s">
        <v>84</v>
      </c>
      <c r="J135" s="19" t="s">
        <v>129</v>
      </c>
      <c r="K135" s="20"/>
    </row>
    <row r="136" spans="1:11" ht="15.75" customHeight="1" x14ac:dyDescent="0.25">
      <c r="A136" s="7">
        <v>9</v>
      </c>
      <c r="B136" s="7" t="s">
        <v>190</v>
      </c>
      <c r="C136" s="7">
        <v>10</v>
      </c>
      <c r="D136" s="21" t="s">
        <v>80</v>
      </c>
      <c r="E136" s="9" t="s">
        <v>433</v>
      </c>
      <c r="F136" s="7" t="s">
        <v>212</v>
      </c>
      <c r="G136" s="7" t="s">
        <v>213</v>
      </c>
      <c r="H136" s="22" t="s">
        <v>73</v>
      </c>
      <c r="I136" s="9" t="s">
        <v>84</v>
      </c>
      <c r="J136" s="19" t="s">
        <v>129</v>
      </c>
      <c r="K136" s="20"/>
    </row>
    <row r="137" spans="1:11" ht="15.75" customHeight="1" x14ac:dyDescent="0.25">
      <c r="A137" s="11">
        <v>10</v>
      </c>
      <c r="B137" s="11" t="s">
        <v>56</v>
      </c>
      <c r="C137" s="11">
        <v>1</v>
      </c>
      <c r="D137" s="12" t="s">
        <v>85</v>
      </c>
      <c r="E137" s="14" t="s">
        <v>434</v>
      </c>
      <c r="F137" s="11" t="s">
        <v>212</v>
      </c>
      <c r="G137" s="11" t="s">
        <v>213</v>
      </c>
      <c r="H137" s="18" t="s">
        <v>73</v>
      </c>
      <c r="I137" s="14" t="s">
        <v>89</v>
      </c>
      <c r="J137" s="19" t="s">
        <v>129</v>
      </c>
      <c r="K137" s="20"/>
    </row>
    <row r="138" spans="1:11" ht="15.75" customHeight="1" x14ac:dyDescent="0.25">
      <c r="A138" s="11">
        <v>10</v>
      </c>
      <c r="B138" s="11" t="s">
        <v>56</v>
      </c>
      <c r="C138" s="11">
        <v>2</v>
      </c>
      <c r="D138" s="12" t="s">
        <v>85</v>
      </c>
      <c r="E138" s="14" t="s">
        <v>435</v>
      </c>
      <c r="F138" s="11" t="s">
        <v>212</v>
      </c>
      <c r="G138" s="11" t="s">
        <v>213</v>
      </c>
      <c r="H138" s="18" t="s">
        <v>73</v>
      </c>
      <c r="I138" s="14" t="s">
        <v>89</v>
      </c>
      <c r="J138" s="19" t="s">
        <v>129</v>
      </c>
      <c r="K138" s="20"/>
    </row>
    <row r="139" spans="1:11" ht="15.75" customHeight="1" x14ac:dyDescent="0.25">
      <c r="A139" s="11">
        <v>10</v>
      </c>
      <c r="B139" s="11" t="s">
        <v>56</v>
      </c>
      <c r="C139" s="11">
        <v>3</v>
      </c>
      <c r="D139" s="12" t="s">
        <v>85</v>
      </c>
      <c r="E139" s="14" t="s">
        <v>436</v>
      </c>
      <c r="F139" s="11" t="s">
        <v>65</v>
      </c>
      <c r="G139" s="11" t="s">
        <v>244</v>
      </c>
      <c r="H139" s="18" t="s">
        <v>73</v>
      </c>
      <c r="I139" s="14" t="s">
        <v>437</v>
      </c>
      <c r="J139" s="19" t="s">
        <v>129</v>
      </c>
      <c r="K139" s="20"/>
    </row>
    <row r="140" spans="1:11" ht="15.75" customHeight="1" x14ac:dyDescent="0.25">
      <c r="A140" s="11">
        <v>10</v>
      </c>
      <c r="B140" s="11" t="s">
        <v>56</v>
      </c>
      <c r="C140" s="11">
        <v>4</v>
      </c>
      <c r="D140" s="12" t="s">
        <v>85</v>
      </c>
      <c r="E140" s="14" t="s">
        <v>438</v>
      </c>
      <c r="F140" s="11" t="s">
        <v>65</v>
      </c>
      <c r="G140" s="11" t="s">
        <v>244</v>
      </c>
      <c r="H140" s="18" t="s">
        <v>73</v>
      </c>
      <c r="I140" s="14" t="s">
        <v>439</v>
      </c>
      <c r="J140" s="19" t="s">
        <v>129</v>
      </c>
      <c r="K140" s="20"/>
    </row>
    <row r="141" spans="1:11" ht="15.75" customHeight="1" x14ac:dyDescent="0.25">
      <c r="A141" s="11">
        <v>10</v>
      </c>
      <c r="B141" s="11" t="s">
        <v>56</v>
      </c>
      <c r="C141" s="11">
        <v>5</v>
      </c>
      <c r="D141" s="12" t="s">
        <v>85</v>
      </c>
      <c r="E141" s="14" t="s">
        <v>440</v>
      </c>
      <c r="F141" s="11" t="s">
        <v>65</v>
      </c>
      <c r="G141" s="11" t="s">
        <v>244</v>
      </c>
      <c r="H141" s="18" t="s">
        <v>73</v>
      </c>
      <c r="I141" s="14" t="s">
        <v>441</v>
      </c>
      <c r="J141" s="19" t="s">
        <v>129</v>
      </c>
      <c r="K141" s="20"/>
    </row>
    <row r="142" spans="1:11" ht="15.75" customHeight="1" x14ac:dyDescent="0.25">
      <c r="A142" s="7">
        <v>10</v>
      </c>
      <c r="B142" s="7" t="s">
        <v>190</v>
      </c>
      <c r="C142" s="7">
        <v>1</v>
      </c>
      <c r="D142" s="21" t="s">
        <v>85</v>
      </c>
      <c r="E142" s="9" t="s">
        <v>442</v>
      </c>
      <c r="F142" s="7" t="s">
        <v>65</v>
      </c>
      <c r="G142" s="7" t="s">
        <v>244</v>
      </c>
      <c r="H142" s="22" t="s">
        <v>73</v>
      </c>
      <c r="I142" s="9" t="s">
        <v>443</v>
      </c>
      <c r="J142" s="19" t="s">
        <v>129</v>
      </c>
      <c r="K142" s="20"/>
    </row>
    <row r="143" spans="1:11" ht="15.75" customHeight="1" x14ac:dyDescent="0.25">
      <c r="A143" s="7">
        <v>10</v>
      </c>
      <c r="B143" s="7" t="s">
        <v>190</v>
      </c>
      <c r="C143" s="7">
        <v>2</v>
      </c>
      <c r="D143" s="21" t="s">
        <v>85</v>
      </c>
      <c r="E143" s="9" t="s">
        <v>444</v>
      </c>
      <c r="F143" s="7" t="s">
        <v>65</v>
      </c>
      <c r="G143" s="7" t="s">
        <v>244</v>
      </c>
      <c r="H143" s="22" t="s">
        <v>73</v>
      </c>
      <c r="I143" s="9" t="s">
        <v>443</v>
      </c>
      <c r="J143" s="19" t="s">
        <v>129</v>
      </c>
      <c r="K143" s="20"/>
    </row>
    <row r="144" spans="1:11" ht="15.75" customHeight="1" x14ac:dyDescent="0.25">
      <c r="A144" s="7">
        <v>10</v>
      </c>
      <c r="B144" s="7" t="s">
        <v>190</v>
      </c>
      <c r="C144" s="7">
        <v>3</v>
      </c>
      <c r="D144" s="21" t="s">
        <v>85</v>
      </c>
      <c r="E144" s="9" t="s">
        <v>445</v>
      </c>
      <c r="F144" s="7" t="s">
        <v>65</v>
      </c>
      <c r="G144" s="7" t="s">
        <v>244</v>
      </c>
      <c r="H144" s="22" t="s">
        <v>73</v>
      </c>
      <c r="I144" s="9" t="s">
        <v>446</v>
      </c>
      <c r="J144" s="19" t="s">
        <v>129</v>
      </c>
      <c r="K144" s="20"/>
    </row>
    <row r="145" spans="1:11" ht="15.75" customHeight="1" x14ac:dyDescent="0.25">
      <c r="A145" s="7">
        <v>10</v>
      </c>
      <c r="B145" s="7" t="s">
        <v>190</v>
      </c>
      <c r="C145" s="7">
        <v>4</v>
      </c>
      <c r="D145" s="21" t="s">
        <v>85</v>
      </c>
      <c r="E145" s="9" t="s">
        <v>447</v>
      </c>
      <c r="F145" s="7" t="s">
        <v>65</v>
      </c>
      <c r="G145" s="7" t="s">
        <v>244</v>
      </c>
      <c r="H145" s="22" t="s">
        <v>73</v>
      </c>
      <c r="I145" s="9" t="s">
        <v>448</v>
      </c>
      <c r="J145" s="19" t="s">
        <v>129</v>
      </c>
      <c r="K145" s="20"/>
    </row>
    <row r="146" spans="1:11" ht="15.75" customHeight="1" x14ac:dyDescent="0.25">
      <c r="A146" s="7">
        <v>10</v>
      </c>
      <c r="B146" s="7" t="s">
        <v>190</v>
      </c>
      <c r="C146" s="7">
        <v>5</v>
      </c>
      <c r="D146" s="21" t="s">
        <v>85</v>
      </c>
      <c r="E146" s="9" t="s">
        <v>449</v>
      </c>
      <c r="F146" s="7" t="s">
        <v>65</v>
      </c>
      <c r="G146" s="7" t="s">
        <v>244</v>
      </c>
      <c r="H146" s="22" t="s">
        <v>73</v>
      </c>
      <c r="I146" s="9" t="s">
        <v>443</v>
      </c>
      <c r="J146" s="19" t="s">
        <v>129</v>
      </c>
      <c r="K146" s="20"/>
    </row>
    <row r="147" spans="1:11" ht="15.75" customHeight="1" x14ac:dyDescent="0.25">
      <c r="A147" s="7">
        <v>10</v>
      </c>
      <c r="B147" s="7" t="s">
        <v>190</v>
      </c>
      <c r="C147" s="7">
        <v>6</v>
      </c>
      <c r="D147" s="21" t="s">
        <v>85</v>
      </c>
      <c r="E147" s="9" t="s">
        <v>450</v>
      </c>
      <c r="F147" s="7" t="s">
        <v>65</v>
      </c>
      <c r="G147" s="7" t="s">
        <v>244</v>
      </c>
      <c r="H147" s="22" t="s">
        <v>73</v>
      </c>
      <c r="I147" s="9" t="s">
        <v>451</v>
      </c>
      <c r="J147" s="19" t="s">
        <v>129</v>
      </c>
      <c r="K147" s="20"/>
    </row>
    <row r="148" spans="1:11" ht="15.75" customHeight="1" x14ac:dyDescent="0.25">
      <c r="A148" s="7">
        <v>10</v>
      </c>
      <c r="B148" s="7" t="s">
        <v>190</v>
      </c>
      <c r="C148" s="7">
        <v>7</v>
      </c>
      <c r="D148" s="21" t="s">
        <v>85</v>
      </c>
      <c r="E148" s="9" t="s">
        <v>452</v>
      </c>
      <c r="F148" s="7" t="s">
        <v>65</v>
      </c>
      <c r="G148" s="7" t="s">
        <v>244</v>
      </c>
      <c r="H148" s="22" t="s">
        <v>73</v>
      </c>
      <c r="I148" s="9" t="s">
        <v>453</v>
      </c>
      <c r="J148" s="19" t="s">
        <v>129</v>
      </c>
      <c r="K148" s="20"/>
    </row>
    <row r="149" spans="1:11" ht="15.75" customHeight="1" x14ac:dyDescent="0.25">
      <c r="A149" s="7">
        <v>10</v>
      </c>
      <c r="B149" s="7" t="s">
        <v>190</v>
      </c>
      <c r="C149" s="7">
        <v>8</v>
      </c>
      <c r="D149" s="21" t="s">
        <v>85</v>
      </c>
      <c r="E149" s="9" t="s">
        <v>454</v>
      </c>
      <c r="F149" s="7" t="s">
        <v>212</v>
      </c>
      <c r="G149" s="7" t="s">
        <v>226</v>
      </c>
      <c r="H149" s="22" t="s">
        <v>73</v>
      </c>
      <c r="I149" s="9" t="s">
        <v>89</v>
      </c>
      <c r="J149" s="19" t="s">
        <v>129</v>
      </c>
      <c r="K149" s="20"/>
    </row>
    <row r="150" spans="1:11" ht="15.75" customHeight="1" x14ac:dyDescent="0.25">
      <c r="A150" s="7">
        <v>10</v>
      </c>
      <c r="B150" s="7" t="s">
        <v>190</v>
      </c>
      <c r="C150" s="7">
        <v>9</v>
      </c>
      <c r="D150" s="21" t="s">
        <v>85</v>
      </c>
      <c r="E150" s="9" t="s">
        <v>455</v>
      </c>
      <c r="F150" s="7" t="s">
        <v>212</v>
      </c>
      <c r="G150" s="7" t="s">
        <v>226</v>
      </c>
      <c r="H150" s="22" t="s">
        <v>73</v>
      </c>
      <c r="I150" s="9" t="s">
        <v>89</v>
      </c>
      <c r="J150" s="19" t="s">
        <v>129</v>
      </c>
      <c r="K150" s="20"/>
    </row>
    <row r="151" spans="1:11" ht="15.75" customHeight="1" x14ac:dyDescent="0.25">
      <c r="A151" s="7">
        <v>10</v>
      </c>
      <c r="B151" s="7" t="s">
        <v>190</v>
      </c>
      <c r="C151" s="7">
        <v>10</v>
      </c>
      <c r="D151" s="21" t="s">
        <v>85</v>
      </c>
      <c r="E151" s="9" t="s">
        <v>456</v>
      </c>
      <c r="F151" s="7" t="s">
        <v>212</v>
      </c>
      <c r="G151" s="7" t="s">
        <v>264</v>
      </c>
      <c r="H151" s="22" t="s">
        <v>73</v>
      </c>
      <c r="I151" s="9" t="s">
        <v>89</v>
      </c>
      <c r="J151" s="19" t="s">
        <v>129</v>
      </c>
      <c r="K151" s="20"/>
    </row>
    <row r="152" spans="1:11" ht="15.75" customHeight="1" x14ac:dyDescent="0.25">
      <c r="A152" s="11">
        <v>11</v>
      </c>
      <c r="B152" s="11" t="s">
        <v>56</v>
      </c>
      <c r="C152" s="11">
        <v>1</v>
      </c>
      <c r="D152" s="12" t="s">
        <v>90</v>
      </c>
      <c r="E152" s="14" t="s">
        <v>457</v>
      </c>
      <c r="F152" s="11" t="s">
        <v>65</v>
      </c>
      <c r="G152" s="11" t="s">
        <v>72</v>
      </c>
      <c r="H152" s="18" t="s">
        <v>73</v>
      </c>
      <c r="I152" s="14" t="s">
        <v>458</v>
      </c>
      <c r="J152" s="19" t="s">
        <v>129</v>
      </c>
      <c r="K152" s="20"/>
    </row>
    <row r="153" spans="1:11" ht="15.75" customHeight="1" x14ac:dyDescent="0.25">
      <c r="A153" s="11">
        <v>11</v>
      </c>
      <c r="B153" s="11" t="s">
        <v>56</v>
      </c>
      <c r="C153" s="11">
        <v>2</v>
      </c>
      <c r="D153" s="12" t="s">
        <v>90</v>
      </c>
      <c r="E153" s="14" t="s">
        <v>459</v>
      </c>
      <c r="F153" s="11" t="s">
        <v>65</v>
      </c>
      <c r="G153" s="11" t="s">
        <v>72</v>
      </c>
      <c r="H153" s="18" t="s">
        <v>73</v>
      </c>
      <c r="I153" s="14" t="s">
        <v>460</v>
      </c>
      <c r="J153" s="19" t="s">
        <v>129</v>
      </c>
      <c r="K153" s="20"/>
    </row>
    <row r="154" spans="1:11" ht="15.75" customHeight="1" x14ac:dyDescent="0.25">
      <c r="A154" s="11">
        <v>11</v>
      </c>
      <c r="B154" s="11" t="s">
        <v>56</v>
      </c>
      <c r="C154" s="11">
        <v>3</v>
      </c>
      <c r="D154" s="12" t="s">
        <v>90</v>
      </c>
      <c r="E154" s="14" t="s">
        <v>461</v>
      </c>
      <c r="F154" s="11" t="s">
        <v>65</v>
      </c>
      <c r="G154" s="11" t="s">
        <v>72</v>
      </c>
      <c r="H154" s="18" t="s">
        <v>73</v>
      </c>
      <c r="I154" s="14" t="s">
        <v>462</v>
      </c>
      <c r="J154" s="19" t="s">
        <v>129</v>
      </c>
      <c r="K154" s="20"/>
    </row>
    <row r="155" spans="1:11" ht="15.75" customHeight="1" x14ac:dyDescent="0.25">
      <c r="A155" s="11">
        <v>11</v>
      </c>
      <c r="B155" s="11" t="s">
        <v>56</v>
      </c>
      <c r="C155" s="11">
        <v>4</v>
      </c>
      <c r="D155" s="12" t="s">
        <v>90</v>
      </c>
      <c r="E155" s="14" t="s">
        <v>463</v>
      </c>
      <c r="F155" s="11" t="s">
        <v>65</v>
      </c>
      <c r="G155" s="11" t="s">
        <v>72</v>
      </c>
      <c r="H155" s="18" t="s">
        <v>73</v>
      </c>
      <c r="I155" s="14" t="s">
        <v>464</v>
      </c>
      <c r="J155" s="19" t="s">
        <v>129</v>
      </c>
      <c r="K155" s="20"/>
    </row>
    <row r="156" spans="1:11" ht="15.75" customHeight="1" x14ac:dyDescent="0.25">
      <c r="A156" s="11">
        <v>11</v>
      </c>
      <c r="B156" s="11" t="s">
        <v>56</v>
      </c>
      <c r="C156" s="11">
        <v>5</v>
      </c>
      <c r="D156" s="12" t="s">
        <v>90</v>
      </c>
      <c r="E156" s="14" t="s">
        <v>465</v>
      </c>
      <c r="F156" s="11" t="s">
        <v>65</v>
      </c>
      <c r="G156" s="11" t="s">
        <v>72</v>
      </c>
      <c r="H156" s="18" t="s">
        <v>73</v>
      </c>
      <c r="I156" s="14" t="s">
        <v>466</v>
      </c>
      <c r="J156" s="19" t="s">
        <v>129</v>
      </c>
      <c r="K156" s="20"/>
    </row>
    <row r="157" spans="1:11" ht="15.75" customHeight="1" x14ac:dyDescent="0.25">
      <c r="A157" s="7">
        <v>11</v>
      </c>
      <c r="B157" s="7" t="s">
        <v>190</v>
      </c>
      <c r="C157" s="7">
        <v>1</v>
      </c>
      <c r="D157" s="21" t="s">
        <v>90</v>
      </c>
      <c r="E157" s="9" t="s">
        <v>467</v>
      </c>
      <c r="F157" s="7" t="s">
        <v>65</v>
      </c>
      <c r="G157" s="7" t="s">
        <v>468</v>
      </c>
      <c r="H157" s="22" t="s">
        <v>73</v>
      </c>
      <c r="I157" s="9" t="s">
        <v>469</v>
      </c>
      <c r="J157" s="19" t="s">
        <v>129</v>
      </c>
      <c r="K157" s="20"/>
    </row>
    <row r="158" spans="1:11" ht="15.75" customHeight="1" x14ac:dyDescent="0.25">
      <c r="A158" s="7">
        <v>11</v>
      </c>
      <c r="B158" s="7" t="s">
        <v>190</v>
      </c>
      <c r="C158" s="7">
        <v>2</v>
      </c>
      <c r="D158" s="21" t="s">
        <v>90</v>
      </c>
      <c r="E158" s="9" t="s">
        <v>470</v>
      </c>
      <c r="F158" s="7" t="s">
        <v>65</v>
      </c>
      <c r="G158" s="7" t="s">
        <v>236</v>
      </c>
      <c r="H158" s="22" t="s">
        <v>73</v>
      </c>
      <c r="I158" s="9" t="s">
        <v>471</v>
      </c>
      <c r="J158" s="19" t="s">
        <v>129</v>
      </c>
      <c r="K158" s="20"/>
    </row>
    <row r="159" spans="1:11" ht="15.75" customHeight="1" x14ac:dyDescent="0.25">
      <c r="A159" s="7">
        <v>11</v>
      </c>
      <c r="B159" s="7" t="s">
        <v>190</v>
      </c>
      <c r="C159" s="7">
        <v>3</v>
      </c>
      <c r="D159" s="21" t="s">
        <v>90</v>
      </c>
      <c r="E159" s="9" t="s">
        <v>472</v>
      </c>
      <c r="F159" s="7" t="s">
        <v>65</v>
      </c>
      <c r="G159" s="7" t="s">
        <v>236</v>
      </c>
      <c r="H159" s="22" t="s">
        <v>73</v>
      </c>
      <c r="I159" s="9" t="s">
        <v>473</v>
      </c>
      <c r="J159" s="19" t="s">
        <v>129</v>
      </c>
      <c r="K159" s="20"/>
    </row>
    <row r="160" spans="1:11" ht="15.75" customHeight="1" x14ac:dyDescent="0.25">
      <c r="A160" s="7">
        <v>11</v>
      </c>
      <c r="B160" s="7" t="s">
        <v>190</v>
      </c>
      <c r="C160" s="7">
        <v>4</v>
      </c>
      <c r="D160" s="21" t="s">
        <v>90</v>
      </c>
      <c r="E160" s="9" t="s">
        <v>474</v>
      </c>
      <c r="F160" s="7" t="s">
        <v>65</v>
      </c>
      <c r="G160" s="7" t="s">
        <v>236</v>
      </c>
      <c r="H160" s="22" t="s">
        <v>73</v>
      </c>
      <c r="I160" s="9" t="s">
        <v>475</v>
      </c>
      <c r="J160" s="19" t="s">
        <v>129</v>
      </c>
      <c r="K160" s="20"/>
    </row>
    <row r="161" spans="1:11" ht="15.75" customHeight="1" x14ac:dyDescent="0.25">
      <c r="A161" s="7">
        <v>11</v>
      </c>
      <c r="B161" s="7" t="s">
        <v>190</v>
      </c>
      <c r="C161" s="7">
        <v>5</v>
      </c>
      <c r="D161" s="21" t="s">
        <v>90</v>
      </c>
      <c r="E161" s="9" t="s">
        <v>476</v>
      </c>
      <c r="F161" s="7" t="s">
        <v>65</v>
      </c>
      <c r="G161" s="7" t="s">
        <v>236</v>
      </c>
      <c r="H161" s="22" t="s">
        <v>73</v>
      </c>
      <c r="I161" s="9" t="s">
        <v>477</v>
      </c>
      <c r="J161" s="19" t="s">
        <v>129</v>
      </c>
      <c r="K161" s="20"/>
    </row>
    <row r="162" spans="1:11" ht="15.75" customHeight="1" x14ac:dyDescent="0.25">
      <c r="A162" s="7">
        <v>11</v>
      </c>
      <c r="B162" s="7" t="s">
        <v>190</v>
      </c>
      <c r="C162" s="7">
        <v>6</v>
      </c>
      <c r="D162" s="21" t="s">
        <v>90</v>
      </c>
      <c r="E162" s="9" t="s">
        <v>478</v>
      </c>
      <c r="F162" s="7" t="s">
        <v>65</v>
      </c>
      <c r="G162" s="7" t="s">
        <v>236</v>
      </c>
      <c r="H162" s="22" t="s">
        <v>73</v>
      </c>
      <c r="I162" s="9" t="s">
        <v>479</v>
      </c>
      <c r="J162" s="19" t="s">
        <v>129</v>
      </c>
      <c r="K162" s="20"/>
    </row>
    <row r="163" spans="1:11" ht="15.75" customHeight="1" x14ac:dyDescent="0.25">
      <c r="A163" s="7">
        <v>11</v>
      </c>
      <c r="B163" s="7" t="s">
        <v>190</v>
      </c>
      <c r="C163" s="7">
        <v>7</v>
      </c>
      <c r="D163" s="21" t="s">
        <v>90</v>
      </c>
      <c r="E163" s="9" t="s">
        <v>480</v>
      </c>
      <c r="F163" s="7" t="s">
        <v>65</v>
      </c>
      <c r="G163" s="7" t="s">
        <v>236</v>
      </c>
      <c r="H163" s="22" t="s">
        <v>73</v>
      </c>
      <c r="I163" s="9" t="s">
        <v>462</v>
      </c>
      <c r="J163" s="19" t="s">
        <v>129</v>
      </c>
      <c r="K163" s="20"/>
    </row>
    <row r="164" spans="1:11" ht="15.75" customHeight="1" x14ac:dyDescent="0.25">
      <c r="A164" s="7">
        <v>11</v>
      </c>
      <c r="B164" s="7" t="s">
        <v>190</v>
      </c>
      <c r="C164" s="7">
        <v>8</v>
      </c>
      <c r="D164" s="21" t="s">
        <v>90</v>
      </c>
      <c r="E164" s="9" t="s">
        <v>481</v>
      </c>
      <c r="F164" s="7" t="s">
        <v>65</v>
      </c>
      <c r="G164" s="7" t="s">
        <v>244</v>
      </c>
      <c r="H164" s="22" t="s">
        <v>73</v>
      </c>
      <c r="I164" s="9" t="s">
        <v>482</v>
      </c>
      <c r="J164" s="19" t="s">
        <v>129</v>
      </c>
      <c r="K164" s="20"/>
    </row>
    <row r="165" spans="1:11" ht="15.75" customHeight="1" x14ac:dyDescent="0.25">
      <c r="A165" s="7">
        <v>11</v>
      </c>
      <c r="B165" s="7" t="s">
        <v>190</v>
      </c>
      <c r="C165" s="7">
        <v>9</v>
      </c>
      <c r="D165" s="21" t="s">
        <v>90</v>
      </c>
      <c r="E165" s="9" t="s">
        <v>483</v>
      </c>
      <c r="F165" s="7" t="s">
        <v>65</v>
      </c>
      <c r="G165" s="7" t="s">
        <v>244</v>
      </c>
      <c r="H165" s="22" t="s">
        <v>73</v>
      </c>
      <c r="I165" s="9" t="s">
        <v>484</v>
      </c>
      <c r="J165" s="19" t="s">
        <v>129</v>
      </c>
      <c r="K165" s="20"/>
    </row>
    <row r="166" spans="1:11" ht="15.75" customHeight="1" x14ac:dyDescent="0.25">
      <c r="A166" s="7">
        <v>11</v>
      </c>
      <c r="B166" s="7" t="s">
        <v>190</v>
      </c>
      <c r="C166" s="7">
        <v>10</v>
      </c>
      <c r="D166" s="21" t="s">
        <v>90</v>
      </c>
      <c r="E166" s="9" t="s">
        <v>485</v>
      </c>
      <c r="F166" s="7" t="s">
        <v>212</v>
      </c>
      <c r="G166" s="7" t="s">
        <v>226</v>
      </c>
      <c r="H166" s="22" t="s">
        <v>73</v>
      </c>
      <c r="I166" s="9" t="s">
        <v>96</v>
      </c>
      <c r="J166" s="19" t="s">
        <v>129</v>
      </c>
      <c r="K166" s="20"/>
    </row>
    <row r="167" spans="1:11" ht="15.75" customHeight="1" x14ac:dyDescent="0.25">
      <c r="A167" s="11">
        <v>12</v>
      </c>
      <c r="B167" s="11" t="s">
        <v>56</v>
      </c>
      <c r="C167" s="11">
        <v>1</v>
      </c>
      <c r="D167" s="12" t="s">
        <v>98</v>
      </c>
      <c r="E167" s="14" t="s">
        <v>486</v>
      </c>
      <c r="F167" s="11" t="s">
        <v>212</v>
      </c>
      <c r="G167" s="11" t="s">
        <v>226</v>
      </c>
      <c r="H167" s="18" t="s">
        <v>73</v>
      </c>
      <c r="I167" s="14" t="s">
        <v>103</v>
      </c>
      <c r="J167" s="19" t="s">
        <v>129</v>
      </c>
      <c r="K167" s="20"/>
    </row>
    <row r="168" spans="1:11" ht="15.75" customHeight="1" x14ac:dyDescent="0.25">
      <c r="A168" s="11">
        <v>12</v>
      </c>
      <c r="B168" s="11" t="s">
        <v>56</v>
      </c>
      <c r="C168" s="11">
        <v>2</v>
      </c>
      <c r="D168" s="12" t="s">
        <v>98</v>
      </c>
      <c r="E168" s="14" t="s">
        <v>487</v>
      </c>
      <c r="F168" s="11" t="s">
        <v>212</v>
      </c>
      <c r="G168" s="11" t="s">
        <v>226</v>
      </c>
      <c r="H168" s="18" t="s">
        <v>73</v>
      </c>
      <c r="I168" s="14" t="s">
        <v>103</v>
      </c>
      <c r="J168" s="19" t="s">
        <v>129</v>
      </c>
      <c r="K168" s="20"/>
    </row>
    <row r="169" spans="1:11" ht="15.75" customHeight="1" x14ac:dyDescent="0.25">
      <c r="A169" s="11">
        <v>12</v>
      </c>
      <c r="B169" s="11" t="s">
        <v>56</v>
      </c>
      <c r="C169" s="11">
        <v>3</v>
      </c>
      <c r="D169" s="12" t="s">
        <v>98</v>
      </c>
      <c r="E169" s="14" t="s">
        <v>488</v>
      </c>
      <c r="F169" s="11" t="s">
        <v>65</v>
      </c>
      <c r="G169" s="11" t="s">
        <v>253</v>
      </c>
      <c r="H169" s="18" t="s">
        <v>73</v>
      </c>
      <c r="I169" s="14" t="s">
        <v>489</v>
      </c>
      <c r="J169" s="19" t="s">
        <v>129</v>
      </c>
      <c r="K169" s="20"/>
    </row>
    <row r="170" spans="1:11" ht="15.75" customHeight="1" x14ac:dyDescent="0.25">
      <c r="A170" s="11">
        <v>12</v>
      </c>
      <c r="B170" s="11" t="s">
        <v>56</v>
      </c>
      <c r="C170" s="11">
        <v>4</v>
      </c>
      <c r="D170" s="12" t="s">
        <v>98</v>
      </c>
      <c r="E170" s="14" t="s">
        <v>490</v>
      </c>
      <c r="F170" s="11" t="s">
        <v>65</v>
      </c>
      <c r="G170" s="11" t="s">
        <v>253</v>
      </c>
      <c r="H170" s="18" t="s">
        <v>73</v>
      </c>
      <c r="I170" s="14" t="s">
        <v>491</v>
      </c>
      <c r="J170" s="19" t="s">
        <v>129</v>
      </c>
      <c r="K170" s="20"/>
    </row>
    <row r="171" spans="1:11" ht="15.75" customHeight="1" x14ac:dyDescent="0.25">
      <c r="A171" s="11">
        <v>12</v>
      </c>
      <c r="B171" s="11" t="s">
        <v>56</v>
      </c>
      <c r="C171" s="11">
        <v>5</v>
      </c>
      <c r="D171" s="12" t="s">
        <v>98</v>
      </c>
      <c r="E171" s="14" t="s">
        <v>492</v>
      </c>
      <c r="F171" s="11" t="s">
        <v>65</v>
      </c>
      <c r="G171" s="11" t="s">
        <v>253</v>
      </c>
      <c r="H171" s="18" t="s">
        <v>73</v>
      </c>
      <c r="I171" s="14" t="s">
        <v>493</v>
      </c>
      <c r="J171" s="19" t="s">
        <v>129</v>
      </c>
      <c r="K171" s="20"/>
    </row>
    <row r="172" spans="1:11" ht="15.75" customHeight="1" x14ac:dyDescent="0.25">
      <c r="A172" s="7">
        <v>12</v>
      </c>
      <c r="B172" s="7" t="s">
        <v>190</v>
      </c>
      <c r="C172" s="7">
        <v>1</v>
      </c>
      <c r="D172" s="21" t="s">
        <v>98</v>
      </c>
      <c r="E172" s="9" t="s">
        <v>494</v>
      </c>
      <c r="F172" s="7" t="s">
        <v>65</v>
      </c>
      <c r="G172" s="7" t="s">
        <v>253</v>
      </c>
      <c r="H172" s="22" t="s">
        <v>73</v>
      </c>
      <c r="I172" s="9" t="s">
        <v>495</v>
      </c>
      <c r="J172" s="19" t="s">
        <v>129</v>
      </c>
      <c r="K172" s="20"/>
    </row>
    <row r="173" spans="1:11" ht="15.75" customHeight="1" x14ac:dyDescent="0.25">
      <c r="A173" s="7">
        <v>12</v>
      </c>
      <c r="B173" s="7" t="s">
        <v>190</v>
      </c>
      <c r="C173" s="7">
        <v>2</v>
      </c>
      <c r="D173" s="21" t="s">
        <v>98</v>
      </c>
      <c r="E173" s="9" t="s">
        <v>496</v>
      </c>
      <c r="F173" s="7" t="s">
        <v>65</v>
      </c>
      <c r="G173" s="7" t="s">
        <v>253</v>
      </c>
      <c r="H173" s="22" t="s">
        <v>73</v>
      </c>
      <c r="I173" s="9" t="s">
        <v>491</v>
      </c>
      <c r="J173" s="19" t="s">
        <v>129</v>
      </c>
      <c r="K173" s="20"/>
    </row>
    <row r="174" spans="1:11" ht="15.75" customHeight="1" x14ac:dyDescent="0.25">
      <c r="A174" s="7">
        <v>12</v>
      </c>
      <c r="B174" s="7" t="s">
        <v>190</v>
      </c>
      <c r="C174" s="7">
        <v>3</v>
      </c>
      <c r="D174" s="21" t="s">
        <v>98</v>
      </c>
      <c r="E174" s="9" t="s">
        <v>497</v>
      </c>
      <c r="F174" s="7" t="s">
        <v>65</v>
      </c>
      <c r="G174" s="7" t="s">
        <v>253</v>
      </c>
      <c r="H174" s="22" t="s">
        <v>73</v>
      </c>
      <c r="I174" s="9" t="s">
        <v>498</v>
      </c>
      <c r="J174" s="19" t="s">
        <v>129</v>
      </c>
      <c r="K174" s="20"/>
    </row>
    <row r="175" spans="1:11" ht="15.75" customHeight="1" x14ac:dyDescent="0.25">
      <c r="A175" s="7">
        <v>12</v>
      </c>
      <c r="B175" s="7" t="s">
        <v>190</v>
      </c>
      <c r="C175" s="7">
        <v>4</v>
      </c>
      <c r="D175" s="21" t="s">
        <v>98</v>
      </c>
      <c r="E175" s="9" t="s">
        <v>499</v>
      </c>
      <c r="F175" s="7" t="s">
        <v>65</v>
      </c>
      <c r="G175" s="7" t="s">
        <v>253</v>
      </c>
      <c r="H175" s="22" t="s">
        <v>73</v>
      </c>
      <c r="I175" s="9" t="s">
        <v>500</v>
      </c>
      <c r="J175" s="19" t="s">
        <v>129</v>
      </c>
      <c r="K175" s="20"/>
    </row>
    <row r="176" spans="1:11" ht="15.75" customHeight="1" x14ac:dyDescent="0.25">
      <c r="A176" s="7">
        <v>12</v>
      </c>
      <c r="B176" s="7" t="s">
        <v>190</v>
      </c>
      <c r="C176" s="7">
        <v>5</v>
      </c>
      <c r="D176" s="21" t="s">
        <v>98</v>
      </c>
      <c r="E176" s="9" t="s">
        <v>501</v>
      </c>
      <c r="F176" s="7" t="s">
        <v>65</v>
      </c>
      <c r="G176" s="7" t="s">
        <v>258</v>
      </c>
      <c r="H176" s="22" t="s">
        <v>73</v>
      </c>
      <c r="I176" s="9" t="s">
        <v>502</v>
      </c>
      <c r="J176" s="19" t="s">
        <v>129</v>
      </c>
      <c r="K176" s="20"/>
    </row>
    <row r="177" spans="1:11" ht="15.75" customHeight="1" x14ac:dyDescent="0.25">
      <c r="A177" s="7">
        <v>12</v>
      </c>
      <c r="B177" s="7" t="s">
        <v>190</v>
      </c>
      <c r="C177" s="7">
        <v>6</v>
      </c>
      <c r="D177" s="21" t="s">
        <v>98</v>
      </c>
      <c r="E177" s="9" t="s">
        <v>503</v>
      </c>
      <c r="F177" s="7" t="s">
        <v>65</v>
      </c>
      <c r="G177" s="7" t="s">
        <v>258</v>
      </c>
      <c r="H177" s="22" t="s">
        <v>73</v>
      </c>
      <c r="I177" s="9" t="s">
        <v>504</v>
      </c>
      <c r="J177" s="19" t="s">
        <v>129</v>
      </c>
      <c r="K177" s="20"/>
    </row>
    <row r="178" spans="1:11" ht="15.75" customHeight="1" x14ac:dyDescent="0.25">
      <c r="A178" s="7">
        <v>12</v>
      </c>
      <c r="B178" s="7" t="s">
        <v>190</v>
      </c>
      <c r="C178" s="7">
        <v>7</v>
      </c>
      <c r="D178" s="21" t="s">
        <v>98</v>
      </c>
      <c r="E178" s="9" t="s">
        <v>505</v>
      </c>
      <c r="F178" s="7" t="s">
        <v>65</v>
      </c>
      <c r="G178" s="7" t="s">
        <v>258</v>
      </c>
      <c r="H178" s="22" t="s">
        <v>73</v>
      </c>
      <c r="I178" s="9" t="s">
        <v>506</v>
      </c>
      <c r="J178" s="19" t="s">
        <v>129</v>
      </c>
      <c r="K178" s="20"/>
    </row>
    <row r="179" spans="1:11" ht="15.75" customHeight="1" x14ac:dyDescent="0.25">
      <c r="A179" s="7">
        <v>12</v>
      </c>
      <c r="B179" s="7" t="s">
        <v>190</v>
      </c>
      <c r="C179" s="7">
        <v>8</v>
      </c>
      <c r="D179" s="21" t="s">
        <v>98</v>
      </c>
      <c r="E179" s="9" t="s">
        <v>507</v>
      </c>
      <c r="F179" s="7" t="s">
        <v>65</v>
      </c>
      <c r="G179" s="7" t="s">
        <v>258</v>
      </c>
      <c r="H179" s="22" t="s">
        <v>73</v>
      </c>
      <c r="I179" s="9" t="s">
        <v>508</v>
      </c>
      <c r="J179" s="19" t="s">
        <v>129</v>
      </c>
      <c r="K179" s="20"/>
    </row>
    <row r="180" spans="1:11" ht="15.75" customHeight="1" x14ac:dyDescent="0.25">
      <c r="A180" s="7">
        <v>12</v>
      </c>
      <c r="B180" s="7" t="s">
        <v>190</v>
      </c>
      <c r="C180" s="7">
        <v>9</v>
      </c>
      <c r="D180" s="21" t="s">
        <v>98</v>
      </c>
      <c r="E180" s="9" t="s">
        <v>509</v>
      </c>
      <c r="F180" s="7" t="s">
        <v>65</v>
      </c>
      <c r="G180" s="7" t="s">
        <v>258</v>
      </c>
      <c r="H180" s="22" t="s">
        <v>73</v>
      </c>
      <c r="I180" s="9" t="s">
        <v>510</v>
      </c>
      <c r="J180" s="19" t="s">
        <v>129</v>
      </c>
      <c r="K180" s="20"/>
    </row>
    <row r="181" spans="1:11" ht="15.75" customHeight="1" x14ac:dyDescent="0.25">
      <c r="A181" s="7">
        <v>12</v>
      </c>
      <c r="B181" s="7" t="s">
        <v>190</v>
      </c>
      <c r="C181" s="7">
        <v>10</v>
      </c>
      <c r="D181" s="21" t="s">
        <v>98</v>
      </c>
      <c r="E181" s="9" t="s">
        <v>511</v>
      </c>
      <c r="F181" s="7" t="s">
        <v>65</v>
      </c>
      <c r="G181" s="7" t="s">
        <v>258</v>
      </c>
      <c r="H181" s="22" t="s">
        <v>73</v>
      </c>
      <c r="I181" s="9" t="s">
        <v>500</v>
      </c>
      <c r="J181" s="19" t="s">
        <v>129</v>
      </c>
      <c r="K181" s="20"/>
    </row>
    <row r="182" spans="1:11" ht="15.75" customHeight="1" x14ac:dyDescent="0.25">
      <c r="A182" s="11">
        <v>13</v>
      </c>
      <c r="B182" s="11" t="s">
        <v>56</v>
      </c>
      <c r="C182" s="11">
        <v>1</v>
      </c>
      <c r="D182" s="12" t="s">
        <v>106</v>
      </c>
      <c r="E182" s="14" t="s">
        <v>512</v>
      </c>
      <c r="F182" s="11" t="s">
        <v>65</v>
      </c>
      <c r="G182" s="11" t="s">
        <v>72</v>
      </c>
      <c r="H182" s="18" t="s">
        <v>73</v>
      </c>
      <c r="I182" s="14" t="s">
        <v>513</v>
      </c>
      <c r="J182" s="19" t="s">
        <v>129</v>
      </c>
      <c r="K182" s="20"/>
    </row>
    <row r="183" spans="1:11" ht="15.75" customHeight="1" x14ac:dyDescent="0.25">
      <c r="A183" s="11">
        <v>13</v>
      </c>
      <c r="B183" s="11" t="s">
        <v>56</v>
      </c>
      <c r="C183" s="11">
        <v>2</v>
      </c>
      <c r="D183" s="12" t="s">
        <v>106</v>
      </c>
      <c r="E183" s="14" t="s">
        <v>514</v>
      </c>
      <c r="F183" s="11" t="s">
        <v>65</v>
      </c>
      <c r="G183" s="11" t="s">
        <v>72</v>
      </c>
      <c r="H183" s="18" t="s">
        <v>73</v>
      </c>
      <c r="I183" s="14" t="s">
        <v>515</v>
      </c>
      <c r="J183" s="19" t="s">
        <v>129</v>
      </c>
      <c r="K183" s="20"/>
    </row>
    <row r="184" spans="1:11" ht="15.75" customHeight="1" x14ac:dyDescent="0.25">
      <c r="A184" s="11">
        <v>13</v>
      </c>
      <c r="B184" s="11" t="s">
        <v>56</v>
      </c>
      <c r="C184" s="11">
        <v>3</v>
      </c>
      <c r="D184" s="12" t="s">
        <v>106</v>
      </c>
      <c r="E184" s="14" t="s">
        <v>516</v>
      </c>
      <c r="F184" s="11" t="s">
        <v>65</v>
      </c>
      <c r="G184" s="11" t="s">
        <v>72</v>
      </c>
      <c r="H184" s="18" t="s">
        <v>73</v>
      </c>
      <c r="I184" s="14" t="s">
        <v>517</v>
      </c>
      <c r="J184" s="19" t="s">
        <v>129</v>
      </c>
      <c r="K184" s="20"/>
    </row>
    <row r="185" spans="1:11" ht="15.75" customHeight="1" x14ac:dyDescent="0.25">
      <c r="A185" s="11">
        <v>13</v>
      </c>
      <c r="B185" s="11" t="s">
        <v>56</v>
      </c>
      <c r="C185" s="11">
        <v>4</v>
      </c>
      <c r="D185" s="12" t="s">
        <v>106</v>
      </c>
      <c r="E185" s="14" t="s">
        <v>518</v>
      </c>
      <c r="F185" s="11" t="s">
        <v>65</v>
      </c>
      <c r="G185" s="11" t="s">
        <v>72</v>
      </c>
      <c r="H185" s="18" t="s">
        <v>73</v>
      </c>
      <c r="I185" s="14" t="s">
        <v>515</v>
      </c>
      <c r="J185" s="19" t="s">
        <v>129</v>
      </c>
      <c r="K185" s="20"/>
    </row>
    <row r="186" spans="1:11" ht="15.75" customHeight="1" x14ac:dyDescent="0.25">
      <c r="A186" s="11">
        <v>13</v>
      </c>
      <c r="B186" s="11" t="s">
        <v>56</v>
      </c>
      <c r="C186" s="11">
        <v>5</v>
      </c>
      <c r="D186" s="12" t="s">
        <v>106</v>
      </c>
      <c r="E186" s="14" t="s">
        <v>519</v>
      </c>
      <c r="F186" s="11" t="s">
        <v>65</v>
      </c>
      <c r="G186" s="11" t="s">
        <v>72</v>
      </c>
      <c r="H186" s="18" t="s">
        <v>73</v>
      </c>
      <c r="I186" s="14" t="s">
        <v>515</v>
      </c>
      <c r="J186" s="19" t="s">
        <v>129</v>
      </c>
      <c r="K186" s="20"/>
    </row>
    <row r="187" spans="1:11" ht="15.75" customHeight="1" x14ac:dyDescent="0.25">
      <c r="A187" s="7">
        <v>13</v>
      </c>
      <c r="B187" s="7" t="s">
        <v>190</v>
      </c>
      <c r="C187" s="7">
        <v>1</v>
      </c>
      <c r="D187" s="21" t="s">
        <v>106</v>
      </c>
      <c r="E187" s="9" t="s">
        <v>520</v>
      </c>
      <c r="F187" s="7" t="s">
        <v>65</v>
      </c>
      <c r="G187" s="7" t="s">
        <v>72</v>
      </c>
      <c r="H187" s="22" t="s">
        <v>73</v>
      </c>
      <c r="I187" s="9" t="s">
        <v>515</v>
      </c>
      <c r="J187" s="19" t="s">
        <v>129</v>
      </c>
      <c r="K187" s="20"/>
    </row>
    <row r="188" spans="1:11" ht="15.75" customHeight="1" x14ac:dyDescent="0.25">
      <c r="A188" s="7">
        <v>13</v>
      </c>
      <c r="B188" s="7" t="s">
        <v>190</v>
      </c>
      <c r="C188" s="7">
        <v>2</v>
      </c>
      <c r="D188" s="21" t="s">
        <v>106</v>
      </c>
      <c r="E188" s="9" t="s">
        <v>521</v>
      </c>
      <c r="F188" s="7" t="s">
        <v>65</v>
      </c>
      <c r="G188" s="7" t="s">
        <v>72</v>
      </c>
      <c r="H188" s="22" t="s">
        <v>73</v>
      </c>
      <c r="I188" s="9" t="s">
        <v>522</v>
      </c>
      <c r="J188" s="19" t="s">
        <v>129</v>
      </c>
      <c r="K188" s="20"/>
    </row>
    <row r="189" spans="1:11" ht="15.75" customHeight="1" x14ac:dyDescent="0.25">
      <c r="A189" s="7">
        <v>13</v>
      </c>
      <c r="B189" s="7" t="s">
        <v>190</v>
      </c>
      <c r="C189" s="7">
        <v>3</v>
      </c>
      <c r="D189" s="21" t="s">
        <v>106</v>
      </c>
      <c r="E189" s="9" t="s">
        <v>523</v>
      </c>
      <c r="F189" s="7" t="s">
        <v>65</v>
      </c>
      <c r="G189" s="7" t="s">
        <v>72</v>
      </c>
      <c r="H189" s="22" t="s">
        <v>73</v>
      </c>
      <c r="I189" s="9" t="s">
        <v>515</v>
      </c>
      <c r="J189" s="19" t="s">
        <v>129</v>
      </c>
      <c r="K189" s="20"/>
    </row>
    <row r="190" spans="1:11" ht="15.75" customHeight="1" x14ac:dyDescent="0.25">
      <c r="A190" s="7">
        <v>13</v>
      </c>
      <c r="B190" s="7" t="s">
        <v>190</v>
      </c>
      <c r="C190" s="7">
        <v>4</v>
      </c>
      <c r="D190" s="21" t="s">
        <v>106</v>
      </c>
      <c r="E190" s="9" t="s">
        <v>524</v>
      </c>
      <c r="F190" s="7" t="s">
        <v>65</v>
      </c>
      <c r="G190" s="7" t="s">
        <v>72</v>
      </c>
      <c r="H190" s="22" t="s">
        <v>73</v>
      </c>
      <c r="I190" s="9" t="s">
        <v>522</v>
      </c>
      <c r="J190" s="19" t="s">
        <v>129</v>
      </c>
      <c r="K190" s="20"/>
    </row>
    <row r="191" spans="1:11" ht="15.75" customHeight="1" x14ac:dyDescent="0.25">
      <c r="A191" s="7">
        <v>13</v>
      </c>
      <c r="B191" s="7" t="s">
        <v>190</v>
      </c>
      <c r="C191" s="7">
        <v>5</v>
      </c>
      <c r="D191" s="21" t="s">
        <v>106</v>
      </c>
      <c r="E191" s="9" t="s">
        <v>525</v>
      </c>
      <c r="F191" s="7" t="s">
        <v>65</v>
      </c>
      <c r="G191" s="7" t="s">
        <v>72</v>
      </c>
      <c r="H191" s="22" t="s">
        <v>73</v>
      </c>
      <c r="I191" s="9" t="s">
        <v>526</v>
      </c>
      <c r="J191" s="19" t="s">
        <v>129</v>
      </c>
      <c r="K191" s="20"/>
    </row>
    <row r="192" spans="1:11" ht="15.75" customHeight="1" x14ac:dyDescent="0.25">
      <c r="A192" s="7">
        <v>13</v>
      </c>
      <c r="B192" s="7" t="s">
        <v>190</v>
      </c>
      <c r="C192" s="7">
        <v>6</v>
      </c>
      <c r="D192" s="21" t="s">
        <v>106</v>
      </c>
      <c r="E192" s="9" t="s">
        <v>527</v>
      </c>
      <c r="F192" s="7" t="s">
        <v>212</v>
      </c>
      <c r="G192" s="7" t="s">
        <v>213</v>
      </c>
      <c r="H192" s="22" t="s">
        <v>73</v>
      </c>
      <c r="I192" s="9" t="s">
        <v>109</v>
      </c>
      <c r="J192" s="19" t="s">
        <v>129</v>
      </c>
      <c r="K192" s="20"/>
    </row>
    <row r="193" spans="1:11" ht="15.75" customHeight="1" x14ac:dyDescent="0.25">
      <c r="A193" s="7">
        <v>13</v>
      </c>
      <c r="B193" s="7" t="s">
        <v>190</v>
      </c>
      <c r="C193" s="7">
        <v>7</v>
      </c>
      <c r="D193" s="21" t="s">
        <v>106</v>
      </c>
      <c r="E193" s="9" t="s">
        <v>528</v>
      </c>
      <c r="F193" s="7" t="s">
        <v>212</v>
      </c>
      <c r="G193" s="7" t="s">
        <v>213</v>
      </c>
      <c r="H193" s="22" t="s">
        <v>73</v>
      </c>
      <c r="I193" s="9" t="s">
        <v>109</v>
      </c>
      <c r="J193" s="19" t="s">
        <v>129</v>
      </c>
      <c r="K193" s="20"/>
    </row>
    <row r="194" spans="1:11" ht="15.75" customHeight="1" x14ac:dyDescent="0.25">
      <c r="A194" s="7">
        <v>13</v>
      </c>
      <c r="B194" s="7" t="s">
        <v>190</v>
      </c>
      <c r="C194" s="7">
        <v>8</v>
      </c>
      <c r="D194" s="21" t="s">
        <v>106</v>
      </c>
      <c r="E194" s="9" t="s">
        <v>529</v>
      </c>
      <c r="F194" s="7" t="s">
        <v>212</v>
      </c>
      <c r="G194" s="7" t="s">
        <v>213</v>
      </c>
      <c r="H194" s="22" t="s">
        <v>73</v>
      </c>
      <c r="I194" s="9" t="s">
        <v>109</v>
      </c>
      <c r="J194" s="19" t="s">
        <v>129</v>
      </c>
      <c r="K194" s="20"/>
    </row>
    <row r="195" spans="1:11" ht="15.75" customHeight="1" x14ac:dyDescent="0.25">
      <c r="A195" s="7">
        <v>13</v>
      </c>
      <c r="B195" s="7" t="s">
        <v>190</v>
      </c>
      <c r="C195" s="7">
        <v>9</v>
      </c>
      <c r="D195" s="21" t="s">
        <v>106</v>
      </c>
      <c r="E195" s="9" t="s">
        <v>530</v>
      </c>
      <c r="F195" s="7" t="s">
        <v>212</v>
      </c>
      <c r="G195" s="7" t="s">
        <v>213</v>
      </c>
      <c r="H195" s="22" t="s">
        <v>73</v>
      </c>
      <c r="I195" s="9" t="s">
        <v>109</v>
      </c>
      <c r="J195" s="19" t="s">
        <v>129</v>
      </c>
      <c r="K195" s="20"/>
    </row>
    <row r="196" spans="1:11" ht="15.75" customHeight="1" x14ac:dyDescent="0.25">
      <c r="A196" s="7">
        <v>13</v>
      </c>
      <c r="B196" s="7" t="s">
        <v>190</v>
      </c>
      <c r="C196" s="7">
        <v>10</v>
      </c>
      <c r="D196" s="21" t="s">
        <v>106</v>
      </c>
      <c r="E196" s="9" t="s">
        <v>531</v>
      </c>
      <c r="F196" s="7" t="s">
        <v>212</v>
      </c>
      <c r="G196" s="7" t="s">
        <v>213</v>
      </c>
      <c r="H196" s="22" t="s">
        <v>73</v>
      </c>
      <c r="I196" s="9" t="s">
        <v>109</v>
      </c>
      <c r="J196" s="19" t="s">
        <v>129</v>
      </c>
      <c r="K196" s="20"/>
    </row>
    <row r="197" spans="1:11" ht="15.75" customHeight="1" x14ac:dyDescent="0.25">
      <c r="A197" s="11">
        <v>14</v>
      </c>
      <c r="B197" s="11" t="s">
        <v>56</v>
      </c>
      <c r="C197" s="11">
        <v>1</v>
      </c>
      <c r="D197" s="12" t="s">
        <v>110</v>
      </c>
      <c r="E197" s="14" t="s">
        <v>532</v>
      </c>
      <c r="F197" s="11" t="s">
        <v>212</v>
      </c>
      <c r="G197" s="11" t="s">
        <v>213</v>
      </c>
      <c r="H197" s="18" t="s">
        <v>73</v>
      </c>
      <c r="I197" s="14" t="s">
        <v>116</v>
      </c>
      <c r="J197" s="19" t="s">
        <v>129</v>
      </c>
      <c r="K197" s="20"/>
    </row>
    <row r="198" spans="1:11" ht="15.75" customHeight="1" x14ac:dyDescent="0.25">
      <c r="A198" s="11">
        <v>14</v>
      </c>
      <c r="B198" s="11" t="s">
        <v>56</v>
      </c>
      <c r="C198" s="11">
        <v>2</v>
      </c>
      <c r="D198" s="12" t="s">
        <v>110</v>
      </c>
      <c r="E198" s="14" t="s">
        <v>533</v>
      </c>
      <c r="F198" s="11" t="s">
        <v>212</v>
      </c>
      <c r="G198" s="11" t="s">
        <v>213</v>
      </c>
      <c r="H198" s="18" t="s">
        <v>73</v>
      </c>
      <c r="I198" s="14" t="s">
        <v>116</v>
      </c>
      <c r="J198" s="19" t="s">
        <v>129</v>
      </c>
      <c r="K198" s="20"/>
    </row>
    <row r="199" spans="1:11" ht="15.75" customHeight="1" x14ac:dyDescent="0.25">
      <c r="A199" s="11">
        <v>14</v>
      </c>
      <c r="B199" s="11" t="s">
        <v>56</v>
      </c>
      <c r="C199" s="11">
        <v>3</v>
      </c>
      <c r="D199" s="12" t="s">
        <v>110</v>
      </c>
      <c r="E199" s="14" t="s">
        <v>534</v>
      </c>
      <c r="F199" s="11" t="s">
        <v>212</v>
      </c>
      <c r="G199" s="11" t="s">
        <v>213</v>
      </c>
      <c r="H199" s="18" t="s">
        <v>73</v>
      </c>
      <c r="I199" s="14" t="s">
        <v>116</v>
      </c>
      <c r="J199" s="19" t="s">
        <v>129</v>
      </c>
      <c r="K199" s="20"/>
    </row>
    <row r="200" spans="1:11" ht="15.75" customHeight="1" x14ac:dyDescent="0.25">
      <c r="A200" s="11">
        <v>14</v>
      </c>
      <c r="B200" s="11" t="s">
        <v>56</v>
      </c>
      <c r="C200" s="11">
        <v>4</v>
      </c>
      <c r="D200" s="12" t="s">
        <v>110</v>
      </c>
      <c r="E200" s="14" t="s">
        <v>535</v>
      </c>
      <c r="F200" s="11" t="s">
        <v>65</v>
      </c>
      <c r="G200" s="11" t="s">
        <v>244</v>
      </c>
      <c r="H200" s="18" t="s">
        <v>73</v>
      </c>
      <c r="I200" s="14" t="s">
        <v>536</v>
      </c>
      <c r="J200" s="19" t="s">
        <v>129</v>
      </c>
      <c r="K200" s="20"/>
    </row>
    <row r="201" spans="1:11" ht="15.75" customHeight="1" x14ac:dyDescent="0.25">
      <c r="A201" s="11">
        <v>14</v>
      </c>
      <c r="B201" s="11" t="s">
        <v>56</v>
      </c>
      <c r="C201" s="11">
        <v>5</v>
      </c>
      <c r="D201" s="12" t="s">
        <v>110</v>
      </c>
      <c r="E201" s="14" t="s">
        <v>537</v>
      </c>
      <c r="F201" s="11" t="s">
        <v>65</v>
      </c>
      <c r="G201" s="11" t="s">
        <v>244</v>
      </c>
      <c r="H201" s="18" t="s">
        <v>73</v>
      </c>
      <c r="I201" s="14" t="s">
        <v>536</v>
      </c>
      <c r="J201" s="19" t="s">
        <v>129</v>
      </c>
      <c r="K201" s="20"/>
    </row>
    <row r="202" spans="1:11" ht="15.75" customHeight="1" x14ac:dyDescent="0.25">
      <c r="A202" s="7">
        <v>14</v>
      </c>
      <c r="B202" s="7" t="s">
        <v>190</v>
      </c>
      <c r="C202" s="7">
        <v>1</v>
      </c>
      <c r="D202" s="21" t="s">
        <v>110</v>
      </c>
      <c r="E202" s="9" t="s">
        <v>538</v>
      </c>
      <c r="F202" s="7" t="s">
        <v>65</v>
      </c>
      <c r="G202" s="7" t="s">
        <v>244</v>
      </c>
      <c r="H202" s="22" t="s">
        <v>73</v>
      </c>
      <c r="I202" s="9" t="s">
        <v>539</v>
      </c>
      <c r="J202" s="19" t="s">
        <v>129</v>
      </c>
      <c r="K202" s="20"/>
    </row>
    <row r="203" spans="1:11" ht="15.75" customHeight="1" x14ac:dyDescent="0.25">
      <c r="A203" s="7">
        <v>14</v>
      </c>
      <c r="B203" s="7" t="s">
        <v>190</v>
      </c>
      <c r="C203" s="7">
        <v>2</v>
      </c>
      <c r="D203" s="21" t="s">
        <v>110</v>
      </c>
      <c r="E203" s="9" t="s">
        <v>540</v>
      </c>
      <c r="F203" s="7" t="s">
        <v>65</v>
      </c>
      <c r="G203" s="7" t="s">
        <v>244</v>
      </c>
      <c r="H203" s="22" t="s">
        <v>73</v>
      </c>
      <c r="I203" s="9" t="s">
        <v>541</v>
      </c>
      <c r="J203" s="19" t="s">
        <v>129</v>
      </c>
      <c r="K203" s="20"/>
    </row>
    <row r="204" spans="1:11" ht="15.75" customHeight="1" x14ac:dyDescent="0.25">
      <c r="A204" s="7">
        <v>14</v>
      </c>
      <c r="B204" s="7" t="s">
        <v>190</v>
      </c>
      <c r="C204" s="7">
        <v>3</v>
      </c>
      <c r="D204" s="21" t="s">
        <v>110</v>
      </c>
      <c r="E204" s="9" t="s">
        <v>542</v>
      </c>
      <c r="F204" s="7" t="s">
        <v>65</v>
      </c>
      <c r="G204" s="7" t="s">
        <v>244</v>
      </c>
      <c r="H204" s="22" t="s">
        <v>73</v>
      </c>
      <c r="I204" s="9" t="s">
        <v>543</v>
      </c>
      <c r="J204" s="19" t="s">
        <v>129</v>
      </c>
      <c r="K204" s="20"/>
    </row>
    <row r="205" spans="1:11" ht="15.75" customHeight="1" x14ac:dyDescent="0.25">
      <c r="A205" s="7">
        <v>14</v>
      </c>
      <c r="B205" s="7" t="s">
        <v>190</v>
      </c>
      <c r="C205" s="7">
        <v>4</v>
      </c>
      <c r="D205" s="21" t="s">
        <v>110</v>
      </c>
      <c r="E205" s="9" t="s">
        <v>544</v>
      </c>
      <c r="F205" s="7" t="s">
        <v>65</v>
      </c>
      <c r="G205" s="7" t="s">
        <v>244</v>
      </c>
      <c r="H205" s="22" t="s">
        <v>73</v>
      </c>
      <c r="I205" s="9" t="s">
        <v>545</v>
      </c>
      <c r="J205" s="19" t="s">
        <v>129</v>
      </c>
      <c r="K205" s="20"/>
    </row>
    <row r="206" spans="1:11" ht="15.75" customHeight="1" x14ac:dyDescent="0.25">
      <c r="A206" s="7">
        <v>14</v>
      </c>
      <c r="B206" s="7" t="s">
        <v>190</v>
      </c>
      <c r="C206" s="7">
        <v>5</v>
      </c>
      <c r="D206" s="21" t="s">
        <v>110</v>
      </c>
      <c r="E206" s="9" t="s">
        <v>546</v>
      </c>
      <c r="F206" s="7" t="s">
        <v>65</v>
      </c>
      <c r="G206" s="7" t="s">
        <v>244</v>
      </c>
      <c r="H206" s="22" t="s">
        <v>73</v>
      </c>
      <c r="I206" s="9" t="s">
        <v>547</v>
      </c>
      <c r="J206" s="19" t="s">
        <v>129</v>
      </c>
      <c r="K206" s="20"/>
    </row>
    <row r="207" spans="1:11" ht="15.75" customHeight="1" x14ac:dyDescent="0.25">
      <c r="A207" s="7">
        <v>14</v>
      </c>
      <c r="B207" s="7" t="s">
        <v>190</v>
      </c>
      <c r="C207" s="7">
        <v>6</v>
      </c>
      <c r="D207" s="21" t="s">
        <v>110</v>
      </c>
      <c r="E207" s="9" t="s">
        <v>548</v>
      </c>
      <c r="F207" s="7" t="s">
        <v>212</v>
      </c>
      <c r="G207" s="7" t="s">
        <v>226</v>
      </c>
      <c r="H207" s="22" t="s">
        <v>73</v>
      </c>
      <c r="I207" s="9" t="s">
        <v>116</v>
      </c>
      <c r="J207" s="19" t="s">
        <v>129</v>
      </c>
      <c r="K207" s="20"/>
    </row>
    <row r="208" spans="1:11" ht="15.75" customHeight="1" x14ac:dyDescent="0.25">
      <c r="A208" s="7">
        <v>14</v>
      </c>
      <c r="B208" s="7" t="s">
        <v>190</v>
      </c>
      <c r="C208" s="7">
        <v>7</v>
      </c>
      <c r="D208" s="21" t="s">
        <v>110</v>
      </c>
      <c r="E208" s="9" t="s">
        <v>549</v>
      </c>
      <c r="F208" s="7" t="s">
        <v>65</v>
      </c>
      <c r="G208" s="7" t="s">
        <v>253</v>
      </c>
      <c r="H208" s="22" t="s">
        <v>73</v>
      </c>
      <c r="I208" s="9" t="s">
        <v>550</v>
      </c>
      <c r="J208" s="19" t="s">
        <v>129</v>
      </c>
      <c r="K208" s="20"/>
    </row>
    <row r="209" spans="1:11" ht="15.75" customHeight="1" x14ac:dyDescent="0.25">
      <c r="A209" s="7">
        <v>14</v>
      </c>
      <c r="B209" s="7" t="s">
        <v>190</v>
      </c>
      <c r="C209" s="7">
        <v>8</v>
      </c>
      <c r="D209" s="21" t="s">
        <v>110</v>
      </c>
      <c r="E209" s="9" t="s">
        <v>551</v>
      </c>
      <c r="F209" s="7" t="s">
        <v>65</v>
      </c>
      <c r="G209" s="7" t="s">
        <v>253</v>
      </c>
      <c r="H209" s="22" t="s">
        <v>73</v>
      </c>
      <c r="I209" s="9" t="s">
        <v>552</v>
      </c>
      <c r="J209" s="19" t="s">
        <v>129</v>
      </c>
      <c r="K209" s="20"/>
    </row>
    <row r="210" spans="1:11" ht="15.75" customHeight="1" x14ac:dyDescent="0.25">
      <c r="A210" s="7">
        <v>14</v>
      </c>
      <c r="B210" s="7" t="s">
        <v>190</v>
      </c>
      <c r="C210" s="7">
        <v>9</v>
      </c>
      <c r="D210" s="21" t="s">
        <v>110</v>
      </c>
      <c r="E210" s="9" t="s">
        <v>553</v>
      </c>
      <c r="F210" s="7" t="s">
        <v>65</v>
      </c>
      <c r="G210" s="7" t="s">
        <v>253</v>
      </c>
      <c r="H210" s="22" t="s">
        <v>73</v>
      </c>
      <c r="I210" s="9" t="s">
        <v>554</v>
      </c>
      <c r="J210" s="19" t="s">
        <v>129</v>
      </c>
      <c r="K210" s="20"/>
    </row>
    <row r="211" spans="1:11" ht="15.75" customHeight="1" x14ac:dyDescent="0.25">
      <c r="A211" s="7">
        <v>14</v>
      </c>
      <c r="B211" s="7" t="s">
        <v>190</v>
      </c>
      <c r="C211" s="7">
        <v>10</v>
      </c>
      <c r="D211" s="21" t="s">
        <v>110</v>
      </c>
      <c r="E211" s="9" t="s">
        <v>555</v>
      </c>
      <c r="F211" s="7" t="s">
        <v>65</v>
      </c>
      <c r="G211" s="7" t="s">
        <v>253</v>
      </c>
      <c r="H211" s="22" t="s">
        <v>73</v>
      </c>
      <c r="I211" s="9" t="s">
        <v>556</v>
      </c>
      <c r="J211" s="19" t="s">
        <v>129</v>
      </c>
      <c r="K211" s="20"/>
    </row>
    <row r="212" spans="1:11" ht="15.75" customHeight="1" x14ac:dyDescent="0.25">
      <c r="A212" s="11">
        <v>15</v>
      </c>
      <c r="B212" s="11" t="s">
        <v>56</v>
      </c>
      <c r="C212" s="11">
        <v>1</v>
      </c>
      <c r="D212" s="12" t="s">
        <v>121</v>
      </c>
      <c r="E212" s="14" t="s">
        <v>557</v>
      </c>
      <c r="F212" s="11" t="s">
        <v>65</v>
      </c>
      <c r="G212" s="11" t="s">
        <v>72</v>
      </c>
      <c r="H212" s="18" t="s">
        <v>73</v>
      </c>
      <c r="I212" s="14" t="s">
        <v>558</v>
      </c>
      <c r="J212" s="19" t="s">
        <v>129</v>
      </c>
      <c r="K212" s="20"/>
    </row>
    <row r="213" spans="1:11" ht="15.75" customHeight="1" x14ac:dyDescent="0.25">
      <c r="A213" s="11">
        <v>15</v>
      </c>
      <c r="B213" s="11" t="s">
        <v>56</v>
      </c>
      <c r="C213" s="11">
        <v>2</v>
      </c>
      <c r="D213" s="12" t="s">
        <v>121</v>
      </c>
      <c r="E213" s="14" t="s">
        <v>559</v>
      </c>
      <c r="F213" s="11" t="s">
        <v>65</v>
      </c>
      <c r="G213" s="11" t="s">
        <v>72</v>
      </c>
      <c r="H213" s="18" t="s">
        <v>73</v>
      </c>
      <c r="I213" s="14" t="s">
        <v>560</v>
      </c>
      <c r="J213" s="19" t="s">
        <v>129</v>
      </c>
      <c r="K213" s="20"/>
    </row>
    <row r="214" spans="1:11" ht="15.75" customHeight="1" x14ac:dyDescent="0.25">
      <c r="A214" s="11">
        <v>15</v>
      </c>
      <c r="B214" s="11" t="s">
        <v>56</v>
      </c>
      <c r="C214" s="11">
        <v>3</v>
      </c>
      <c r="D214" s="12" t="s">
        <v>121</v>
      </c>
      <c r="E214" s="14" t="s">
        <v>561</v>
      </c>
      <c r="F214" s="11" t="s">
        <v>65</v>
      </c>
      <c r="G214" s="11" t="s">
        <v>72</v>
      </c>
      <c r="H214" s="18" t="s">
        <v>73</v>
      </c>
      <c r="I214" s="14" t="s">
        <v>562</v>
      </c>
      <c r="J214" s="19" t="s">
        <v>129</v>
      </c>
      <c r="K214" s="20"/>
    </row>
    <row r="215" spans="1:11" ht="15.75" customHeight="1" x14ac:dyDescent="0.25">
      <c r="A215" s="11">
        <v>15</v>
      </c>
      <c r="B215" s="11" t="s">
        <v>56</v>
      </c>
      <c r="C215" s="11">
        <v>4</v>
      </c>
      <c r="D215" s="12" t="s">
        <v>121</v>
      </c>
      <c r="E215" s="14" t="s">
        <v>563</v>
      </c>
      <c r="F215" s="11" t="s">
        <v>65</v>
      </c>
      <c r="G215" s="11" t="s">
        <v>72</v>
      </c>
      <c r="H215" s="18" t="s">
        <v>73</v>
      </c>
      <c r="I215" s="14" t="s">
        <v>562</v>
      </c>
      <c r="J215" s="19" t="s">
        <v>129</v>
      </c>
      <c r="K215" s="20"/>
    </row>
    <row r="216" spans="1:11" ht="15.75" customHeight="1" x14ac:dyDescent="0.25">
      <c r="A216" s="11">
        <v>15</v>
      </c>
      <c r="B216" s="11" t="s">
        <v>56</v>
      </c>
      <c r="C216" s="11">
        <v>5</v>
      </c>
      <c r="D216" s="12" t="s">
        <v>121</v>
      </c>
      <c r="E216" s="14" t="s">
        <v>564</v>
      </c>
      <c r="F216" s="11" t="s">
        <v>65</v>
      </c>
      <c r="G216" s="11" t="s">
        <v>72</v>
      </c>
      <c r="H216" s="18" t="s">
        <v>73</v>
      </c>
      <c r="I216" s="14" t="s">
        <v>560</v>
      </c>
      <c r="J216" s="19" t="s">
        <v>129</v>
      </c>
      <c r="K216" s="20"/>
    </row>
    <row r="217" spans="1:11" ht="15.75" customHeight="1" x14ac:dyDescent="0.25">
      <c r="A217" s="7">
        <v>15</v>
      </c>
      <c r="B217" s="7" t="s">
        <v>190</v>
      </c>
      <c r="C217" s="7">
        <v>1</v>
      </c>
      <c r="D217" s="21" t="s">
        <v>121</v>
      </c>
      <c r="E217" s="9" t="s">
        <v>565</v>
      </c>
      <c r="F217" s="7" t="s">
        <v>65</v>
      </c>
      <c r="G217" s="7" t="s">
        <v>72</v>
      </c>
      <c r="H217" s="22" t="s">
        <v>73</v>
      </c>
      <c r="I217" s="9" t="s">
        <v>566</v>
      </c>
      <c r="J217" s="19" t="s">
        <v>129</v>
      </c>
      <c r="K217" s="20"/>
    </row>
    <row r="218" spans="1:11" ht="15.75" customHeight="1" x14ac:dyDescent="0.25">
      <c r="A218" s="7">
        <v>15</v>
      </c>
      <c r="B218" s="7" t="s">
        <v>190</v>
      </c>
      <c r="C218" s="7">
        <v>2</v>
      </c>
      <c r="D218" s="21" t="s">
        <v>121</v>
      </c>
      <c r="E218" s="9" t="s">
        <v>567</v>
      </c>
      <c r="F218" s="7" t="s">
        <v>65</v>
      </c>
      <c r="G218" s="7" t="s">
        <v>72</v>
      </c>
      <c r="H218" s="22" t="s">
        <v>73</v>
      </c>
      <c r="I218" s="9" t="s">
        <v>560</v>
      </c>
      <c r="J218" s="19" t="s">
        <v>129</v>
      </c>
      <c r="K218" s="20"/>
    </row>
    <row r="219" spans="1:11" ht="15.75" customHeight="1" x14ac:dyDescent="0.25">
      <c r="A219" s="7">
        <v>15</v>
      </c>
      <c r="B219" s="7" t="s">
        <v>190</v>
      </c>
      <c r="C219" s="7">
        <v>3</v>
      </c>
      <c r="D219" s="21" t="s">
        <v>121</v>
      </c>
      <c r="E219" s="9" t="s">
        <v>568</v>
      </c>
      <c r="F219" s="7" t="s">
        <v>65</v>
      </c>
      <c r="G219" s="7" t="s">
        <v>72</v>
      </c>
      <c r="H219" s="22" t="s">
        <v>73</v>
      </c>
      <c r="I219" s="9" t="s">
        <v>562</v>
      </c>
      <c r="J219" s="19" t="s">
        <v>129</v>
      </c>
      <c r="K219" s="20"/>
    </row>
    <row r="220" spans="1:11" ht="15.75" customHeight="1" x14ac:dyDescent="0.25">
      <c r="A220" s="7">
        <v>15</v>
      </c>
      <c r="B220" s="7" t="s">
        <v>190</v>
      </c>
      <c r="C220" s="7">
        <v>4</v>
      </c>
      <c r="D220" s="21" t="s">
        <v>121</v>
      </c>
      <c r="E220" s="9" t="s">
        <v>569</v>
      </c>
      <c r="F220" s="7" t="s">
        <v>65</v>
      </c>
      <c r="G220" s="7" t="s">
        <v>72</v>
      </c>
      <c r="H220" s="22" t="s">
        <v>73</v>
      </c>
      <c r="I220" s="9" t="s">
        <v>562</v>
      </c>
      <c r="J220" s="19" t="s">
        <v>129</v>
      </c>
      <c r="K220" s="20"/>
    </row>
    <row r="221" spans="1:11" ht="15.75" customHeight="1" x14ac:dyDescent="0.25">
      <c r="A221" s="7">
        <v>15</v>
      </c>
      <c r="B221" s="7" t="s">
        <v>190</v>
      </c>
      <c r="C221" s="7">
        <v>5</v>
      </c>
      <c r="D221" s="21" t="s">
        <v>121</v>
      </c>
      <c r="E221" s="9" t="s">
        <v>570</v>
      </c>
      <c r="F221" s="7" t="s">
        <v>65</v>
      </c>
      <c r="G221" s="7" t="s">
        <v>72</v>
      </c>
      <c r="H221" s="22" t="s">
        <v>73</v>
      </c>
      <c r="I221" s="9" t="s">
        <v>571</v>
      </c>
      <c r="J221" s="19" t="s">
        <v>129</v>
      </c>
      <c r="K221" s="20"/>
    </row>
    <row r="222" spans="1:11" ht="15.75" customHeight="1" x14ac:dyDescent="0.25">
      <c r="A222" s="7">
        <v>15</v>
      </c>
      <c r="B222" s="7" t="s">
        <v>190</v>
      </c>
      <c r="C222" s="7">
        <v>6</v>
      </c>
      <c r="D222" s="21" t="s">
        <v>121</v>
      </c>
      <c r="E222" s="9" t="s">
        <v>572</v>
      </c>
      <c r="F222" s="7" t="s">
        <v>65</v>
      </c>
      <c r="G222" s="7" t="s">
        <v>72</v>
      </c>
      <c r="H222" s="22" t="s">
        <v>73</v>
      </c>
      <c r="I222" s="9" t="s">
        <v>560</v>
      </c>
      <c r="J222" s="19" t="s">
        <v>129</v>
      </c>
      <c r="K222" s="20"/>
    </row>
    <row r="223" spans="1:11" ht="15.75" customHeight="1" x14ac:dyDescent="0.25">
      <c r="A223" s="7">
        <v>15</v>
      </c>
      <c r="B223" s="7" t="s">
        <v>190</v>
      </c>
      <c r="C223" s="7">
        <v>7</v>
      </c>
      <c r="D223" s="21" t="s">
        <v>121</v>
      </c>
      <c r="E223" s="9" t="s">
        <v>573</v>
      </c>
      <c r="F223" s="7" t="s">
        <v>65</v>
      </c>
      <c r="G223" s="7" t="s">
        <v>72</v>
      </c>
      <c r="H223" s="22" t="s">
        <v>73</v>
      </c>
      <c r="I223" s="9" t="s">
        <v>562</v>
      </c>
      <c r="J223" s="19" t="s">
        <v>129</v>
      </c>
      <c r="K223" s="20"/>
    </row>
    <row r="224" spans="1:11" ht="15.75" customHeight="1" x14ac:dyDescent="0.25">
      <c r="A224" s="7">
        <v>15</v>
      </c>
      <c r="B224" s="7" t="s">
        <v>190</v>
      </c>
      <c r="C224" s="7">
        <v>8</v>
      </c>
      <c r="D224" s="21" t="s">
        <v>121</v>
      </c>
      <c r="E224" s="9" t="s">
        <v>574</v>
      </c>
      <c r="F224" s="7" t="s">
        <v>65</v>
      </c>
      <c r="G224" s="7" t="s">
        <v>72</v>
      </c>
      <c r="H224" s="22" t="s">
        <v>73</v>
      </c>
      <c r="I224" s="9" t="s">
        <v>562</v>
      </c>
      <c r="J224" s="19" t="s">
        <v>129</v>
      </c>
      <c r="K224" s="20"/>
    </row>
    <row r="225" spans="1:11" ht="15.75" customHeight="1" x14ac:dyDescent="0.25">
      <c r="A225" s="7">
        <v>15</v>
      </c>
      <c r="B225" s="7" t="s">
        <v>190</v>
      </c>
      <c r="C225" s="7">
        <v>9</v>
      </c>
      <c r="D225" s="21" t="s">
        <v>121</v>
      </c>
      <c r="E225" s="9" t="s">
        <v>575</v>
      </c>
      <c r="F225" s="7" t="s">
        <v>212</v>
      </c>
      <c r="G225" s="7" t="s">
        <v>213</v>
      </c>
      <c r="H225" s="22" t="s">
        <v>73</v>
      </c>
      <c r="I225" s="9" t="s">
        <v>124</v>
      </c>
      <c r="J225" s="19" t="s">
        <v>129</v>
      </c>
      <c r="K225" s="20"/>
    </row>
    <row r="226" spans="1:11" ht="15.75" customHeight="1" x14ac:dyDescent="0.25">
      <c r="A226" s="7">
        <v>15</v>
      </c>
      <c r="B226" s="7" t="s">
        <v>190</v>
      </c>
      <c r="C226" s="7">
        <v>10</v>
      </c>
      <c r="D226" s="21" t="s">
        <v>121</v>
      </c>
      <c r="E226" s="9" t="s">
        <v>576</v>
      </c>
      <c r="F226" s="7" t="s">
        <v>212</v>
      </c>
      <c r="G226" s="7" t="s">
        <v>213</v>
      </c>
      <c r="H226" s="22" t="s">
        <v>73</v>
      </c>
      <c r="I226" s="9" t="s">
        <v>124</v>
      </c>
      <c r="J226" s="19" t="s">
        <v>129</v>
      </c>
      <c r="K226" s="20"/>
    </row>
    <row r="227" spans="1:11" ht="15.75" customHeight="1" x14ac:dyDescent="0.25">
      <c r="A227" s="11">
        <v>16</v>
      </c>
      <c r="B227" s="11" t="s">
        <v>56</v>
      </c>
      <c r="C227" s="11">
        <v>1</v>
      </c>
      <c r="D227" s="12" t="s">
        <v>125</v>
      </c>
      <c r="E227" s="14" t="s">
        <v>577</v>
      </c>
      <c r="F227" s="11" t="s">
        <v>212</v>
      </c>
      <c r="G227" s="11" t="s">
        <v>213</v>
      </c>
      <c r="H227" s="18" t="s">
        <v>73</v>
      </c>
      <c r="I227" s="14" t="s">
        <v>131</v>
      </c>
      <c r="J227" s="19" t="s">
        <v>129</v>
      </c>
      <c r="K227" s="20"/>
    </row>
    <row r="228" spans="1:11" ht="15.75" customHeight="1" x14ac:dyDescent="0.25">
      <c r="A228" s="11">
        <v>16</v>
      </c>
      <c r="B228" s="11" t="s">
        <v>56</v>
      </c>
      <c r="C228" s="11">
        <v>2</v>
      </c>
      <c r="D228" s="12" t="s">
        <v>125</v>
      </c>
      <c r="E228" s="14" t="s">
        <v>578</v>
      </c>
      <c r="F228" s="11" t="s">
        <v>65</v>
      </c>
      <c r="G228" s="11" t="s">
        <v>236</v>
      </c>
      <c r="H228" s="18" t="s">
        <v>73</v>
      </c>
      <c r="I228" s="14" t="s">
        <v>579</v>
      </c>
      <c r="J228" s="19" t="s">
        <v>129</v>
      </c>
      <c r="K228" s="20"/>
    </row>
    <row r="229" spans="1:11" ht="15.75" customHeight="1" x14ac:dyDescent="0.25">
      <c r="A229" s="11">
        <v>16</v>
      </c>
      <c r="B229" s="11" t="s">
        <v>56</v>
      </c>
      <c r="C229" s="11">
        <v>3</v>
      </c>
      <c r="D229" s="12" t="s">
        <v>125</v>
      </c>
      <c r="E229" s="14" t="s">
        <v>580</v>
      </c>
      <c r="F229" s="11" t="s">
        <v>65</v>
      </c>
      <c r="G229" s="11" t="s">
        <v>236</v>
      </c>
      <c r="H229" s="18" t="s">
        <v>73</v>
      </c>
      <c r="I229" s="14" t="s">
        <v>581</v>
      </c>
      <c r="J229" s="19" t="s">
        <v>129</v>
      </c>
      <c r="K229" s="20"/>
    </row>
    <row r="230" spans="1:11" ht="15.75" customHeight="1" x14ac:dyDescent="0.25">
      <c r="A230" s="11">
        <v>16</v>
      </c>
      <c r="B230" s="11" t="s">
        <v>56</v>
      </c>
      <c r="C230" s="11">
        <v>4</v>
      </c>
      <c r="D230" s="12" t="s">
        <v>125</v>
      </c>
      <c r="E230" s="14" t="s">
        <v>582</v>
      </c>
      <c r="F230" s="11" t="s">
        <v>65</v>
      </c>
      <c r="G230" s="11" t="s">
        <v>236</v>
      </c>
      <c r="H230" s="18" t="s">
        <v>73</v>
      </c>
      <c r="I230" s="14" t="s">
        <v>583</v>
      </c>
      <c r="J230" s="19" t="s">
        <v>129</v>
      </c>
      <c r="K230" s="20"/>
    </row>
    <row r="231" spans="1:11" ht="15.75" customHeight="1" x14ac:dyDescent="0.25">
      <c r="A231" s="11">
        <v>16</v>
      </c>
      <c r="B231" s="11" t="s">
        <v>56</v>
      </c>
      <c r="C231" s="11">
        <v>5</v>
      </c>
      <c r="D231" s="12" t="s">
        <v>125</v>
      </c>
      <c r="E231" s="14" t="s">
        <v>584</v>
      </c>
      <c r="F231" s="11" t="s">
        <v>65</v>
      </c>
      <c r="G231" s="11" t="s">
        <v>236</v>
      </c>
      <c r="H231" s="18" t="s">
        <v>73</v>
      </c>
      <c r="I231" s="14" t="s">
        <v>585</v>
      </c>
      <c r="J231" s="19" t="s">
        <v>129</v>
      </c>
      <c r="K231" s="20"/>
    </row>
    <row r="232" spans="1:11" ht="15.75" customHeight="1" x14ac:dyDescent="0.25">
      <c r="A232" s="7">
        <v>16</v>
      </c>
      <c r="B232" s="7" t="s">
        <v>190</v>
      </c>
      <c r="C232" s="7">
        <v>1</v>
      </c>
      <c r="D232" s="21" t="s">
        <v>125</v>
      </c>
      <c r="E232" s="9" t="s">
        <v>586</v>
      </c>
      <c r="F232" s="7" t="s">
        <v>65</v>
      </c>
      <c r="G232" s="7" t="s">
        <v>236</v>
      </c>
      <c r="H232" s="22" t="s">
        <v>73</v>
      </c>
      <c r="I232" s="9" t="s">
        <v>587</v>
      </c>
      <c r="J232" s="19" t="s">
        <v>129</v>
      </c>
      <c r="K232" s="20"/>
    </row>
    <row r="233" spans="1:11" ht="15.75" customHeight="1" x14ac:dyDescent="0.25">
      <c r="A233" s="7">
        <v>16</v>
      </c>
      <c r="B233" s="7" t="s">
        <v>190</v>
      </c>
      <c r="C233" s="7">
        <v>2</v>
      </c>
      <c r="D233" s="21" t="s">
        <v>125</v>
      </c>
      <c r="E233" s="9" t="s">
        <v>588</v>
      </c>
      <c r="F233" s="7" t="s">
        <v>65</v>
      </c>
      <c r="G233" s="7" t="s">
        <v>236</v>
      </c>
      <c r="H233" s="22" t="s">
        <v>73</v>
      </c>
      <c r="I233" s="9" t="s">
        <v>589</v>
      </c>
      <c r="J233" s="19" t="s">
        <v>129</v>
      </c>
      <c r="K233" s="20"/>
    </row>
    <row r="234" spans="1:11" ht="15.75" customHeight="1" x14ac:dyDescent="0.25">
      <c r="A234" s="7">
        <v>16</v>
      </c>
      <c r="B234" s="7" t="s">
        <v>190</v>
      </c>
      <c r="C234" s="7">
        <v>3</v>
      </c>
      <c r="D234" s="21" t="s">
        <v>125</v>
      </c>
      <c r="E234" s="9" t="s">
        <v>590</v>
      </c>
      <c r="F234" s="7" t="s">
        <v>65</v>
      </c>
      <c r="G234" s="7" t="s">
        <v>236</v>
      </c>
      <c r="H234" s="22" t="s">
        <v>73</v>
      </c>
      <c r="I234" s="9" t="s">
        <v>591</v>
      </c>
      <c r="J234" s="19" t="s">
        <v>129</v>
      </c>
      <c r="K234" s="20"/>
    </row>
    <row r="235" spans="1:11" ht="15.75" customHeight="1" x14ac:dyDescent="0.25">
      <c r="A235" s="7">
        <v>16</v>
      </c>
      <c r="B235" s="7" t="s">
        <v>190</v>
      </c>
      <c r="C235" s="7">
        <v>4</v>
      </c>
      <c r="D235" s="21" t="s">
        <v>125</v>
      </c>
      <c r="E235" s="9" t="s">
        <v>592</v>
      </c>
      <c r="F235" s="7" t="s">
        <v>65</v>
      </c>
      <c r="G235" s="7" t="s">
        <v>236</v>
      </c>
      <c r="H235" s="22" t="s">
        <v>73</v>
      </c>
      <c r="I235" s="9" t="s">
        <v>593</v>
      </c>
      <c r="J235" s="19" t="s">
        <v>129</v>
      </c>
      <c r="K235" s="20"/>
    </row>
    <row r="236" spans="1:11" ht="15.75" customHeight="1" x14ac:dyDescent="0.25">
      <c r="A236" s="7">
        <v>16</v>
      </c>
      <c r="B236" s="7" t="s">
        <v>190</v>
      </c>
      <c r="C236" s="7">
        <v>5</v>
      </c>
      <c r="D236" s="21" t="s">
        <v>125</v>
      </c>
      <c r="E236" s="9" t="s">
        <v>594</v>
      </c>
      <c r="F236" s="7" t="s">
        <v>65</v>
      </c>
      <c r="G236" s="7" t="s">
        <v>236</v>
      </c>
      <c r="H236" s="22" t="s">
        <v>73</v>
      </c>
      <c r="I236" s="9" t="s">
        <v>595</v>
      </c>
      <c r="J236" s="19" t="s">
        <v>129</v>
      </c>
      <c r="K236" s="20"/>
    </row>
    <row r="237" spans="1:11" ht="15.75" customHeight="1" x14ac:dyDescent="0.25">
      <c r="A237" s="7">
        <v>16</v>
      </c>
      <c r="B237" s="7" t="s">
        <v>190</v>
      </c>
      <c r="C237" s="7">
        <v>6</v>
      </c>
      <c r="D237" s="21" t="s">
        <v>125</v>
      </c>
      <c r="E237" s="9" t="s">
        <v>596</v>
      </c>
      <c r="F237" s="7" t="s">
        <v>65</v>
      </c>
      <c r="G237" s="7" t="s">
        <v>236</v>
      </c>
      <c r="H237" s="22" t="s">
        <v>73</v>
      </c>
      <c r="I237" s="9" t="s">
        <v>597</v>
      </c>
      <c r="J237" s="19" t="s">
        <v>129</v>
      </c>
      <c r="K237" s="20"/>
    </row>
    <row r="238" spans="1:11" ht="15.75" customHeight="1" x14ac:dyDescent="0.25">
      <c r="A238" s="7">
        <v>16</v>
      </c>
      <c r="B238" s="7" t="s">
        <v>190</v>
      </c>
      <c r="C238" s="7">
        <v>7</v>
      </c>
      <c r="D238" s="21" t="s">
        <v>125</v>
      </c>
      <c r="E238" s="9" t="s">
        <v>598</v>
      </c>
      <c r="F238" s="7" t="s">
        <v>65</v>
      </c>
      <c r="G238" s="7" t="s">
        <v>236</v>
      </c>
      <c r="H238" s="22" t="s">
        <v>73</v>
      </c>
      <c r="I238" s="9" t="s">
        <v>579</v>
      </c>
      <c r="J238" s="19" t="s">
        <v>129</v>
      </c>
      <c r="K238" s="20"/>
    </row>
    <row r="239" spans="1:11" ht="15.75" customHeight="1" x14ac:dyDescent="0.25">
      <c r="A239" s="7">
        <v>16</v>
      </c>
      <c r="B239" s="7" t="s">
        <v>190</v>
      </c>
      <c r="C239" s="7">
        <v>8</v>
      </c>
      <c r="D239" s="21" t="s">
        <v>125</v>
      </c>
      <c r="E239" s="9" t="s">
        <v>599</v>
      </c>
      <c r="F239" s="7" t="s">
        <v>65</v>
      </c>
      <c r="G239" s="7" t="s">
        <v>236</v>
      </c>
      <c r="H239" s="22" t="s">
        <v>73</v>
      </c>
      <c r="I239" s="9" t="s">
        <v>600</v>
      </c>
      <c r="J239" s="19" t="s">
        <v>129</v>
      </c>
      <c r="K239" s="20"/>
    </row>
    <row r="240" spans="1:11" ht="15.75" customHeight="1" x14ac:dyDescent="0.25">
      <c r="A240" s="7">
        <v>16</v>
      </c>
      <c r="B240" s="7" t="s">
        <v>190</v>
      </c>
      <c r="C240" s="7">
        <v>9</v>
      </c>
      <c r="D240" s="21" t="s">
        <v>125</v>
      </c>
      <c r="E240" s="9" t="s">
        <v>601</v>
      </c>
      <c r="F240" s="7" t="s">
        <v>65</v>
      </c>
      <c r="G240" s="7" t="s">
        <v>236</v>
      </c>
      <c r="H240" s="22" t="s">
        <v>73</v>
      </c>
      <c r="I240" s="9" t="s">
        <v>602</v>
      </c>
      <c r="J240" s="19" t="s">
        <v>129</v>
      </c>
      <c r="K240" s="20"/>
    </row>
    <row r="241" spans="1:11" ht="15.75" customHeight="1" x14ac:dyDescent="0.25">
      <c r="A241" s="7">
        <v>16</v>
      </c>
      <c r="B241" s="7" t="s">
        <v>190</v>
      </c>
      <c r="C241" s="7">
        <v>10</v>
      </c>
      <c r="D241" s="21" t="s">
        <v>125</v>
      </c>
      <c r="E241" s="9" t="s">
        <v>603</v>
      </c>
      <c r="F241" s="7" t="s">
        <v>65</v>
      </c>
      <c r="G241" s="7" t="s">
        <v>244</v>
      </c>
      <c r="H241" s="22" t="s">
        <v>73</v>
      </c>
      <c r="I241" s="9" t="s">
        <v>604</v>
      </c>
      <c r="J241" s="19" t="s">
        <v>129</v>
      </c>
      <c r="K241" s="20"/>
    </row>
    <row r="242" spans="1:11" ht="15.75" customHeight="1" x14ac:dyDescent="0.25">
      <c r="A242" s="11">
        <v>17</v>
      </c>
      <c r="B242" s="11" t="s">
        <v>56</v>
      </c>
      <c r="C242" s="11">
        <v>1</v>
      </c>
      <c r="D242" s="12" t="s">
        <v>132</v>
      </c>
      <c r="E242" s="14" t="s">
        <v>605</v>
      </c>
      <c r="F242" s="11" t="s">
        <v>65</v>
      </c>
      <c r="G242" s="11" t="s">
        <v>72</v>
      </c>
      <c r="H242" s="18" t="s">
        <v>73</v>
      </c>
      <c r="I242" s="14" t="s">
        <v>606</v>
      </c>
      <c r="J242" s="19" t="s">
        <v>129</v>
      </c>
      <c r="K242" s="20"/>
    </row>
    <row r="243" spans="1:11" ht="15.75" customHeight="1" x14ac:dyDescent="0.25">
      <c r="A243" s="11">
        <v>17</v>
      </c>
      <c r="B243" s="11" t="s">
        <v>56</v>
      </c>
      <c r="C243" s="11">
        <v>2</v>
      </c>
      <c r="D243" s="12" t="s">
        <v>132</v>
      </c>
      <c r="E243" s="14" t="s">
        <v>607</v>
      </c>
      <c r="F243" s="11" t="s">
        <v>65</v>
      </c>
      <c r="G243" s="11" t="s">
        <v>72</v>
      </c>
      <c r="H243" s="18" t="s">
        <v>73</v>
      </c>
      <c r="I243" s="14" t="s">
        <v>608</v>
      </c>
      <c r="J243" s="19" t="s">
        <v>129</v>
      </c>
      <c r="K243" s="20"/>
    </row>
    <row r="244" spans="1:11" ht="15.75" customHeight="1" x14ac:dyDescent="0.25">
      <c r="A244" s="11">
        <v>17</v>
      </c>
      <c r="B244" s="11" t="s">
        <v>56</v>
      </c>
      <c r="C244" s="11">
        <v>3</v>
      </c>
      <c r="D244" s="12" t="s">
        <v>132</v>
      </c>
      <c r="E244" s="14" t="s">
        <v>609</v>
      </c>
      <c r="F244" s="11" t="s">
        <v>65</v>
      </c>
      <c r="G244" s="11" t="s">
        <v>72</v>
      </c>
      <c r="H244" s="18" t="s">
        <v>73</v>
      </c>
      <c r="I244" s="14" t="s">
        <v>610</v>
      </c>
      <c r="J244" s="19" t="s">
        <v>129</v>
      </c>
      <c r="K244" s="20"/>
    </row>
    <row r="245" spans="1:11" ht="15.75" customHeight="1" x14ac:dyDescent="0.25">
      <c r="A245" s="11">
        <v>17</v>
      </c>
      <c r="B245" s="11" t="s">
        <v>56</v>
      </c>
      <c r="C245" s="11">
        <v>4</v>
      </c>
      <c r="D245" s="12" t="s">
        <v>132</v>
      </c>
      <c r="E245" s="14" t="s">
        <v>611</v>
      </c>
      <c r="F245" s="11" t="s">
        <v>65</v>
      </c>
      <c r="G245" s="11" t="s">
        <v>72</v>
      </c>
      <c r="H245" s="18" t="s">
        <v>73</v>
      </c>
      <c r="I245" s="14" t="s">
        <v>612</v>
      </c>
      <c r="J245" s="19" t="s">
        <v>129</v>
      </c>
      <c r="K245" s="20"/>
    </row>
    <row r="246" spans="1:11" ht="15.75" customHeight="1" x14ac:dyDescent="0.25">
      <c r="A246" s="11">
        <v>17</v>
      </c>
      <c r="B246" s="11" t="s">
        <v>56</v>
      </c>
      <c r="C246" s="11">
        <v>5</v>
      </c>
      <c r="D246" s="12" t="s">
        <v>132</v>
      </c>
      <c r="E246" s="14" t="s">
        <v>613</v>
      </c>
      <c r="F246" s="11" t="s">
        <v>65</v>
      </c>
      <c r="G246" s="11" t="s">
        <v>72</v>
      </c>
      <c r="H246" s="18" t="s">
        <v>73</v>
      </c>
      <c r="I246" s="14" t="s">
        <v>614</v>
      </c>
      <c r="J246" s="19" t="s">
        <v>129</v>
      </c>
      <c r="K246" s="20"/>
    </row>
    <row r="247" spans="1:11" ht="15.75" customHeight="1" x14ac:dyDescent="0.25">
      <c r="A247" s="7">
        <v>17</v>
      </c>
      <c r="B247" s="7" t="s">
        <v>190</v>
      </c>
      <c r="C247" s="7">
        <v>1</v>
      </c>
      <c r="D247" s="21" t="s">
        <v>132</v>
      </c>
      <c r="E247" s="9" t="s">
        <v>615</v>
      </c>
      <c r="F247" s="7" t="s">
        <v>65</v>
      </c>
      <c r="G247" s="7" t="s">
        <v>72</v>
      </c>
      <c r="H247" s="22" t="s">
        <v>73</v>
      </c>
      <c r="I247" s="9" t="s">
        <v>616</v>
      </c>
      <c r="J247" s="19" t="s">
        <v>129</v>
      </c>
      <c r="K247" s="20"/>
    </row>
    <row r="248" spans="1:11" ht="15.75" customHeight="1" x14ac:dyDescent="0.25">
      <c r="A248" s="7">
        <v>17</v>
      </c>
      <c r="B248" s="7" t="s">
        <v>190</v>
      </c>
      <c r="C248" s="7">
        <v>2</v>
      </c>
      <c r="D248" s="21" t="s">
        <v>132</v>
      </c>
      <c r="E248" s="9" t="s">
        <v>617</v>
      </c>
      <c r="F248" s="7" t="s">
        <v>65</v>
      </c>
      <c r="G248" s="7" t="s">
        <v>72</v>
      </c>
      <c r="H248" s="22" t="s">
        <v>73</v>
      </c>
      <c r="I248" s="9" t="s">
        <v>610</v>
      </c>
      <c r="J248" s="19" t="s">
        <v>129</v>
      </c>
      <c r="K248" s="20"/>
    </row>
    <row r="249" spans="1:11" ht="15.75" customHeight="1" x14ac:dyDescent="0.25">
      <c r="A249" s="7">
        <v>17</v>
      </c>
      <c r="B249" s="7" t="s">
        <v>190</v>
      </c>
      <c r="C249" s="7">
        <v>3</v>
      </c>
      <c r="D249" s="21" t="s">
        <v>132</v>
      </c>
      <c r="E249" s="9" t="s">
        <v>618</v>
      </c>
      <c r="F249" s="7" t="s">
        <v>65</v>
      </c>
      <c r="G249" s="7" t="s">
        <v>72</v>
      </c>
      <c r="H249" s="22" t="s">
        <v>73</v>
      </c>
      <c r="I249" s="9" t="s">
        <v>619</v>
      </c>
      <c r="J249" s="19" t="s">
        <v>129</v>
      </c>
      <c r="K249" s="20"/>
    </row>
    <row r="250" spans="1:11" ht="15.75" customHeight="1" x14ac:dyDescent="0.25">
      <c r="A250" s="7">
        <v>17</v>
      </c>
      <c r="B250" s="7" t="s">
        <v>190</v>
      </c>
      <c r="C250" s="7">
        <v>4</v>
      </c>
      <c r="D250" s="21" t="s">
        <v>132</v>
      </c>
      <c r="E250" s="9" t="s">
        <v>620</v>
      </c>
      <c r="F250" s="7" t="s">
        <v>212</v>
      </c>
      <c r="G250" s="7" t="s">
        <v>213</v>
      </c>
      <c r="H250" s="22" t="s">
        <v>73</v>
      </c>
      <c r="I250" s="9" t="s">
        <v>135</v>
      </c>
      <c r="J250" s="19" t="s">
        <v>129</v>
      </c>
      <c r="K250" s="20"/>
    </row>
    <row r="251" spans="1:11" ht="15.75" customHeight="1" x14ac:dyDescent="0.25">
      <c r="A251" s="7">
        <v>17</v>
      </c>
      <c r="B251" s="7" t="s">
        <v>190</v>
      </c>
      <c r="C251" s="7">
        <v>5</v>
      </c>
      <c r="D251" s="21" t="s">
        <v>132</v>
      </c>
      <c r="E251" s="9" t="s">
        <v>621</v>
      </c>
      <c r="F251" s="7" t="s">
        <v>212</v>
      </c>
      <c r="G251" s="7" t="s">
        <v>213</v>
      </c>
      <c r="H251" s="22" t="s">
        <v>73</v>
      </c>
      <c r="I251" s="9" t="s">
        <v>135</v>
      </c>
      <c r="J251" s="19" t="s">
        <v>129</v>
      </c>
      <c r="K251" s="20"/>
    </row>
    <row r="252" spans="1:11" ht="15.75" customHeight="1" x14ac:dyDescent="0.25">
      <c r="A252" s="7">
        <v>17</v>
      </c>
      <c r="B252" s="7" t="s">
        <v>190</v>
      </c>
      <c r="C252" s="7">
        <v>6</v>
      </c>
      <c r="D252" s="21" t="s">
        <v>132</v>
      </c>
      <c r="E252" s="9" t="s">
        <v>622</v>
      </c>
      <c r="F252" s="7" t="s">
        <v>212</v>
      </c>
      <c r="G252" s="7" t="s">
        <v>213</v>
      </c>
      <c r="H252" s="22" t="s">
        <v>73</v>
      </c>
      <c r="I252" s="9" t="s">
        <v>135</v>
      </c>
      <c r="J252" s="19" t="s">
        <v>129</v>
      </c>
      <c r="K252" s="20"/>
    </row>
    <row r="253" spans="1:11" ht="15.75" customHeight="1" x14ac:dyDescent="0.25">
      <c r="A253" s="7">
        <v>17</v>
      </c>
      <c r="B253" s="7" t="s">
        <v>190</v>
      </c>
      <c r="C253" s="7">
        <v>7</v>
      </c>
      <c r="D253" s="21" t="s">
        <v>132</v>
      </c>
      <c r="E253" s="9" t="s">
        <v>623</v>
      </c>
      <c r="F253" s="7" t="s">
        <v>212</v>
      </c>
      <c r="G253" s="7" t="s">
        <v>213</v>
      </c>
      <c r="H253" s="22" t="s">
        <v>73</v>
      </c>
      <c r="I253" s="9" t="s">
        <v>135</v>
      </c>
      <c r="J253" s="19" t="s">
        <v>129</v>
      </c>
      <c r="K253" s="20"/>
    </row>
    <row r="254" spans="1:11" ht="15.75" customHeight="1" x14ac:dyDescent="0.25">
      <c r="A254" s="7">
        <v>17</v>
      </c>
      <c r="B254" s="7" t="s">
        <v>190</v>
      </c>
      <c r="C254" s="7">
        <v>8</v>
      </c>
      <c r="D254" s="21" t="s">
        <v>132</v>
      </c>
      <c r="E254" s="9" t="s">
        <v>624</v>
      </c>
      <c r="F254" s="7" t="s">
        <v>212</v>
      </c>
      <c r="G254" s="7" t="s">
        <v>226</v>
      </c>
      <c r="H254" s="22" t="s">
        <v>73</v>
      </c>
      <c r="I254" s="9" t="s">
        <v>135</v>
      </c>
      <c r="J254" s="19" t="s">
        <v>129</v>
      </c>
      <c r="K254" s="20"/>
    </row>
    <row r="255" spans="1:11" ht="15.75" customHeight="1" x14ac:dyDescent="0.25">
      <c r="A255" s="7">
        <v>17</v>
      </c>
      <c r="B255" s="7" t="s">
        <v>190</v>
      </c>
      <c r="C255" s="7">
        <v>9</v>
      </c>
      <c r="D255" s="21" t="s">
        <v>132</v>
      </c>
      <c r="E255" s="9" t="s">
        <v>625</v>
      </c>
      <c r="F255" s="7" t="s">
        <v>212</v>
      </c>
      <c r="G255" s="7" t="s">
        <v>226</v>
      </c>
      <c r="H255" s="22" t="s">
        <v>73</v>
      </c>
      <c r="I255" s="9" t="s">
        <v>135</v>
      </c>
      <c r="J255" s="19" t="s">
        <v>129</v>
      </c>
      <c r="K255" s="20"/>
    </row>
    <row r="256" spans="1:11" ht="15.75" customHeight="1" x14ac:dyDescent="0.25">
      <c r="A256" s="7">
        <v>17</v>
      </c>
      <c r="B256" s="7" t="s">
        <v>190</v>
      </c>
      <c r="C256" s="7">
        <v>10</v>
      </c>
      <c r="D256" s="21" t="s">
        <v>132</v>
      </c>
      <c r="E256" s="9" t="s">
        <v>626</v>
      </c>
      <c r="F256" s="7" t="s">
        <v>212</v>
      </c>
      <c r="G256" s="7" t="s">
        <v>226</v>
      </c>
      <c r="H256" s="22" t="s">
        <v>73</v>
      </c>
      <c r="I256" s="9" t="s">
        <v>135</v>
      </c>
      <c r="J256" s="19" t="s">
        <v>129</v>
      </c>
      <c r="K256" s="20"/>
    </row>
    <row r="257" spans="1:11" ht="15.75" customHeight="1" x14ac:dyDescent="0.25">
      <c r="A257" s="11">
        <v>18</v>
      </c>
      <c r="B257" s="11" t="s">
        <v>56</v>
      </c>
      <c r="C257" s="11">
        <v>1</v>
      </c>
      <c r="D257" s="12" t="s">
        <v>137</v>
      </c>
      <c r="E257" s="14" t="s">
        <v>627</v>
      </c>
      <c r="F257" s="11" t="s">
        <v>65</v>
      </c>
      <c r="G257" s="11" t="s">
        <v>72</v>
      </c>
      <c r="H257" s="18" t="s">
        <v>73</v>
      </c>
      <c r="I257" s="14" t="s">
        <v>628</v>
      </c>
      <c r="J257" s="19" t="s">
        <v>129</v>
      </c>
      <c r="K257" s="20"/>
    </row>
    <row r="258" spans="1:11" ht="15.75" customHeight="1" x14ac:dyDescent="0.25">
      <c r="A258" s="11">
        <v>18</v>
      </c>
      <c r="B258" s="11" t="s">
        <v>56</v>
      </c>
      <c r="C258" s="11">
        <v>2</v>
      </c>
      <c r="D258" s="12" t="s">
        <v>137</v>
      </c>
      <c r="E258" s="14" t="s">
        <v>629</v>
      </c>
      <c r="F258" s="11" t="s">
        <v>65</v>
      </c>
      <c r="G258" s="11" t="s">
        <v>72</v>
      </c>
      <c r="H258" s="18" t="s">
        <v>73</v>
      </c>
      <c r="I258" s="14" t="s">
        <v>628</v>
      </c>
      <c r="J258" s="19" t="s">
        <v>129</v>
      </c>
      <c r="K258" s="20"/>
    </row>
    <row r="259" spans="1:11" ht="15.75" customHeight="1" x14ac:dyDescent="0.25">
      <c r="A259" s="11">
        <v>18</v>
      </c>
      <c r="B259" s="11" t="s">
        <v>56</v>
      </c>
      <c r="C259" s="11">
        <v>3</v>
      </c>
      <c r="D259" s="12" t="s">
        <v>137</v>
      </c>
      <c r="E259" s="14" t="s">
        <v>630</v>
      </c>
      <c r="F259" s="11" t="s">
        <v>65</v>
      </c>
      <c r="G259" s="11" t="s">
        <v>72</v>
      </c>
      <c r="H259" s="18" t="s">
        <v>73</v>
      </c>
      <c r="I259" s="14" t="s">
        <v>628</v>
      </c>
      <c r="J259" s="19" t="s">
        <v>129</v>
      </c>
      <c r="K259" s="20"/>
    </row>
    <row r="260" spans="1:11" ht="15.75" customHeight="1" x14ac:dyDescent="0.25">
      <c r="A260" s="11">
        <v>18</v>
      </c>
      <c r="B260" s="11" t="s">
        <v>56</v>
      </c>
      <c r="C260" s="11">
        <v>4</v>
      </c>
      <c r="D260" s="12" t="s">
        <v>137</v>
      </c>
      <c r="E260" s="14" t="s">
        <v>631</v>
      </c>
      <c r="F260" s="11" t="s">
        <v>65</v>
      </c>
      <c r="G260" s="11" t="s">
        <v>72</v>
      </c>
      <c r="H260" s="18" t="s">
        <v>73</v>
      </c>
      <c r="I260" s="14" t="s">
        <v>632</v>
      </c>
      <c r="J260" s="19" t="s">
        <v>129</v>
      </c>
      <c r="K260" s="20"/>
    </row>
    <row r="261" spans="1:11" ht="15.75" customHeight="1" x14ac:dyDescent="0.25">
      <c r="A261" s="11">
        <v>18</v>
      </c>
      <c r="B261" s="11" t="s">
        <v>56</v>
      </c>
      <c r="C261" s="11">
        <v>5</v>
      </c>
      <c r="D261" s="12" t="s">
        <v>137</v>
      </c>
      <c r="E261" s="14" t="s">
        <v>633</v>
      </c>
      <c r="F261" s="11" t="s">
        <v>65</v>
      </c>
      <c r="G261" s="11" t="s">
        <v>72</v>
      </c>
      <c r="H261" s="18" t="s">
        <v>73</v>
      </c>
      <c r="I261" s="14" t="s">
        <v>632</v>
      </c>
      <c r="J261" s="19" t="s">
        <v>129</v>
      </c>
      <c r="K261" s="20"/>
    </row>
    <row r="262" spans="1:11" ht="15.75" customHeight="1" x14ac:dyDescent="0.25">
      <c r="A262" s="7">
        <v>18</v>
      </c>
      <c r="B262" s="7" t="s">
        <v>190</v>
      </c>
      <c r="C262" s="7">
        <v>1</v>
      </c>
      <c r="D262" s="21" t="s">
        <v>137</v>
      </c>
      <c r="E262" s="9" t="s">
        <v>634</v>
      </c>
      <c r="F262" s="7" t="s">
        <v>65</v>
      </c>
      <c r="G262" s="7" t="s">
        <v>72</v>
      </c>
      <c r="H262" s="22" t="s">
        <v>73</v>
      </c>
      <c r="I262" s="9" t="s">
        <v>628</v>
      </c>
      <c r="J262" s="19" t="s">
        <v>129</v>
      </c>
      <c r="K262" s="20"/>
    </row>
    <row r="263" spans="1:11" ht="15.75" customHeight="1" x14ac:dyDescent="0.25">
      <c r="A263" s="7">
        <v>18</v>
      </c>
      <c r="B263" s="7" t="s">
        <v>190</v>
      </c>
      <c r="C263" s="7">
        <v>2</v>
      </c>
      <c r="D263" s="21" t="s">
        <v>137</v>
      </c>
      <c r="E263" s="9" t="s">
        <v>635</v>
      </c>
      <c r="F263" s="7" t="s">
        <v>65</v>
      </c>
      <c r="G263" s="7" t="s">
        <v>72</v>
      </c>
      <c r="H263" s="22" t="s">
        <v>73</v>
      </c>
      <c r="I263" s="9" t="s">
        <v>632</v>
      </c>
      <c r="J263" s="19" t="s">
        <v>129</v>
      </c>
      <c r="K263" s="20"/>
    </row>
    <row r="264" spans="1:11" ht="15.75" customHeight="1" x14ac:dyDescent="0.25">
      <c r="A264" s="7">
        <v>18</v>
      </c>
      <c r="B264" s="7" t="s">
        <v>190</v>
      </c>
      <c r="C264" s="7">
        <v>3</v>
      </c>
      <c r="D264" s="21" t="s">
        <v>137</v>
      </c>
      <c r="E264" s="9" t="s">
        <v>636</v>
      </c>
      <c r="F264" s="7" t="s">
        <v>65</v>
      </c>
      <c r="G264" s="7" t="s">
        <v>72</v>
      </c>
      <c r="H264" s="22" t="s">
        <v>73</v>
      </c>
      <c r="I264" s="9" t="s">
        <v>637</v>
      </c>
      <c r="J264" s="19" t="s">
        <v>129</v>
      </c>
      <c r="K264" s="20"/>
    </row>
    <row r="265" spans="1:11" ht="15.75" customHeight="1" x14ac:dyDescent="0.25">
      <c r="A265" s="7">
        <v>18</v>
      </c>
      <c r="B265" s="7" t="s">
        <v>190</v>
      </c>
      <c r="C265" s="7">
        <v>4</v>
      </c>
      <c r="D265" s="21" t="s">
        <v>137</v>
      </c>
      <c r="E265" s="9" t="s">
        <v>638</v>
      </c>
      <c r="F265" s="7" t="s">
        <v>65</v>
      </c>
      <c r="G265" s="7" t="s">
        <v>72</v>
      </c>
      <c r="H265" s="22" t="s">
        <v>73</v>
      </c>
      <c r="I265" s="9" t="s">
        <v>632</v>
      </c>
      <c r="J265" s="19" t="s">
        <v>129</v>
      </c>
      <c r="K265" s="20"/>
    </row>
    <row r="266" spans="1:11" ht="15.75" customHeight="1" x14ac:dyDescent="0.25">
      <c r="A266" s="7">
        <v>18</v>
      </c>
      <c r="B266" s="7" t="s">
        <v>190</v>
      </c>
      <c r="C266" s="7">
        <v>5</v>
      </c>
      <c r="D266" s="21" t="s">
        <v>137</v>
      </c>
      <c r="E266" s="9" t="s">
        <v>639</v>
      </c>
      <c r="F266" s="7" t="s">
        <v>65</v>
      </c>
      <c r="G266" s="7" t="s">
        <v>72</v>
      </c>
      <c r="H266" s="22" t="s">
        <v>73</v>
      </c>
      <c r="I266" s="9" t="s">
        <v>632</v>
      </c>
      <c r="J266" s="19" t="s">
        <v>129</v>
      </c>
      <c r="K266" s="20"/>
    </row>
    <row r="267" spans="1:11" ht="15.75" customHeight="1" x14ac:dyDescent="0.25">
      <c r="A267" s="7">
        <v>18</v>
      </c>
      <c r="B267" s="7" t="s">
        <v>190</v>
      </c>
      <c r="C267" s="7">
        <v>6</v>
      </c>
      <c r="D267" s="21" t="s">
        <v>137</v>
      </c>
      <c r="E267" s="9" t="s">
        <v>640</v>
      </c>
      <c r="F267" s="7" t="s">
        <v>65</v>
      </c>
      <c r="G267" s="7" t="s">
        <v>72</v>
      </c>
      <c r="H267" s="22" t="s">
        <v>73</v>
      </c>
      <c r="I267" s="9" t="s">
        <v>632</v>
      </c>
      <c r="J267" s="19" t="s">
        <v>129</v>
      </c>
      <c r="K267" s="20"/>
    </row>
    <row r="268" spans="1:11" ht="15.75" customHeight="1" x14ac:dyDescent="0.25">
      <c r="A268" s="7">
        <v>18</v>
      </c>
      <c r="B268" s="7" t="s">
        <v>190</v>
      </c>
      <c r="C268" s="7">
        <v>7</v>
      </c>
      <c r="D268" s="21" t="s">
        <v>137</v>
      </c>
      <c r="E268" s="9" t="s">
        <v>641</v>
      </c>
      <c r="F268" s="7" t="s">
        <v>212</v>
      </c>
      <c r="G268" s="7" t="s">
        <v>213</v>
      </c>
      <c r="H268" s="22" t="s">
        <v>73</v>
      </c>
      <c r="I268" s="9" t="s">
        <v>140</v>
      </c>
      <c r="J268" s="19" t="s">
        <v>129</v>
      </c>
      <c r="K268" s="20"/>
    </row>
    <row r="269" spans="1:11" ht="15.75" customHeight="1" x14ac:dyDescent="0.25">
      <c r="A269" s="7">
        <v>18</v>
      </c>
      <c r="B269" s="7" t="s">
        <v>190</v>
      </c>
      <c r="C269" s="7">
        <v>8</v>
      </c>
      <c r="D269" s="21" t="s">
        <v>137</v>
      </c>
      <c r="E269" s="9" t="s">
        <v>642</v>
      </c>
      <c r="F269" s="7" t="s">
        <v>212</v>
      </c>
      <c r="G269" s="7" t="s">
        <v>226</v>
      </c>
      <c r="H269" s="22" t="s">
        <v>73</v>
      </c>
      <c r="I269" s="9" t="s">
        <v>140</v>
      </c>
      <c r="J269" s="19" t="s">
        <v>129</v>
      </c>
      <c r="K269" s="20"/>
    </row>
    <row r="270" spans="1:11" ht="15.75" customHeight="1" x14ac:dyDescent="0.25">
      <c r="A270" s="7">
        <v>18</v>
      </c>
      <c r="B270" s="7" t="s">
        <v>190</v>
      </c>
      <c r="C270" s="7">
        <v>9</v>
      </c>
      <c r="D270" s="21" t="s">
        <v>137</v>
      </c>
      <c r="E270" s="9" t="s">
        <v>643</v>
      </c>
      <c r="F270" s="7" t="s">
        <v>212</v>
      </c>
      <c r="G270" s="7" t="s">
        <v>226</v>
      </c>
      <c r="H270" s="22" t="s">
        <v>73</v>
      </c>
      <c r="I270" s="9" t="s">
        <v>140</v>
      </c>
      <c r="J270" s="19" t="s">
        <v>129</v>
      </c>
      <c r="K270" s="20"/>
    </row>
    <row r="271" spans="1:11" ht="15.75" customHeight="1" x14ac:dyDescent="0.25">
      <c r="A271" s="7">
        <v>18</v>
      </c>
      <c r="B271" s="7" t="s">
        <v>190</v>
      </c>
      <c r="C271" s="7">
        <v>10</v>
      </c>
      <c r="D271" s="21" t="s">
        <v>137</v>
      </c>
      <c r="E271" s="9" t="s">
        <v>644</v>
      </c>
      <c r="F271" s="7" t="s">
        <v>212</v>
      </c>
      <c r="G271" s="7" t="s">
        <v>226</v>
      </c>
      <c r="H271" s="22" t="s">
        <v>73</v>
      </c>
      <c r="I271" s="9" t="s">
        <v>140</v>
      </c>
      <c r="J271" s="19" t="s">
        <v>129</v>
      </c>
      <c r="K271" s="20"/>
    </row>
    <row r="272" spans="1:11" ht="15.75" customHeight="1" x14ac:dyDescent="0.25">
      <c r="A272" s="11">
        <v>19</v>
      </c>
      <c r="B272" s="11" t="s">
        <v>56</v>
      </c>
      <c r="C272" s="11">
        <v>1</v>
      </c>
      <c r="D272" s="12" t="s">
        <v>141</v>
      </c>
      <c r="E272" s="14" t="s">
        <v>645</v>
      </c>
      <c r="F272" s="11" t="s">
        <v>65</v>
      </c>
      <c r="G272" s="11" t="s">
        <v>236</v>
      </c>
      <c r="H272" s="18" t="s">
        <v>73</v>
      </c>
      <c r="I272" s="14" t="s">
        <v>646</v>
      </c>
      <c r="J272" s="19" t="s">
        <v>129</v>
      </c>
      <c r="K272" s="20"/>
    </row>
    <row r="273" spans="1:11" ht="15.75" customHeight="1" x14ac:dyDescent="0.25">
      <c r="A273" s="11">
        <v>19</v>
      </c>
      <c r="B273" s="11" t="s">
        <v>56</v>
      </c>
      <c r="C273" s="11">
        <v>2</v>
      </c>
      <c r="D273" s="12" t="s">
        <v>141</v>
      </c>
      <c r="E273" s="14" t="s">
        <v>647</v>
      </c>
      <c r="F273" s="11" t="s">
        <v>65</v>
      </c>
      <c r="G273" s="11" t="s">
        <v>236</v>
      </c>
      <c r="H273" s="18" t="s">
        <v>73</v>
      </c>
      <c r="I273" s="14" t="s">
        <v>648</v>
      </c>
      <c r="J273" s="19" t="s">
        <v>129</v>
      </c>
      <c r="K273" s="20"/>
    </row>
    <row r="274" spans="1:11" ht="15.75" customHeight="1" x14ac:dyDescent="0.25">
      <c r="A274" s="11">
        <v>19</v>
      </c>
      <c r="B274" s="11" t="s">
        <v>56</v>
      </c>
      <c r="C274" s="11">
        <v>3</v>
      </c>
      <c r="D274" s="12" t="s">
        <v>141</v>
      </c>
      <c r="E274" s="14" t="s">
        <v>649</v>
      </c>
      <c r="F274" s="11" t="s">
        <v>65</v>
      </c>
      <c r="G274" s="11" t="s">
        <v>236</v>
      </c>
      <c r="H274" s="18" t="s">
        <v>73</v>
      </c>
      <c r="I274" s="14" t="s">
        <v>650</v>
      </c>
      <c r="J274" s="19" t="s">
        <v>129</v>
      </c>
      <c r="K274" s="20"/>
    </row>
    <row r="275" spans="1:11" ht="15.75" customHeight="1" x14ac:dyDescent="0.25">
      <c r="A275" s="11">
        <v>19</v>
      </c>
      <c r="B275" s="11" t="s">
        <v>56</v>
      </c>
      <c r="C275" s="11">
        <v>4</v>
      </c>
      <c r="D275" s="12" t="s">
        <v>141</v>
      </c>
      <c r="E275" s="14" t="s">
        <v>651</v>
      </c>
      <c r="F275" s="11" t="s">
        <v>65</v>
      </c>
      <c r="G275" s="11" t="s">
        <v>236</v>
      </c>
      <c r="H275" s="18" t="s">
        <v>73</v>
      </c>
      <c r="I275" s="14" t="s">
        <v>652</v>
      </c>
      <c r="J275" s="19" t="s">
        <v>129</v>
      </c>
      <c r="K275" s="20"/>
    </row>
    <row r="276" spans="1:11" ht="15.75" customHeight="1" x14ac:dyDescent="0.25">
      <c r="A276" s="11">
        <v>19</v>
      </c>
      <c r="B276" s="11" t="s">
        <v>56</v>
      </c>
      <c r="C276" s="11">
        <v>5</v>
      </c>
      <c r="D276" s="12" t="s">
        <v>141</v>
      </c>
      <c r="E276" s="14" t="s">
        <v>653</v>
      </c>
      <c r="F276" s="11" t="s">
        <v>65</v>
      </c>
      <c r="G276" s="11" t="s">
        <v>236</v>
      </c>
      <c r="H276" s="18" t="s">
        <v>73</v>
      </c>
      <c r="I276" s="14" t="s">
        <v>654</v>
      </c>
      <c r="J276" s="19" t="s">
        <v>129</v>
      </c>
      <c r="K276" s="20"/>
    </row>
    <row r="277" spans="1:11" ht="15.75" customHeight="1" x14ac:dyDescent="0.25">
      <c r="A277" s="7">
        <v>19</v>
      </c>
      <c r="B277" s="7" t="s">
        <v>190</v>
      </c>
      <c r="C277" s="7">
        <v>1</v>
      </c>
      <c r="D277" s="21" t="s">
        <v>141</v>
      </c>
      <c r="E277" s="9" t="s">
        <v>655</v>
      </c>
      <c r="F277" s="7" t="s">
        <v>65</v>
      </c>
      <c r="G277" s="7" t="s">
        <v>236</v>
      </c>
      <c r="H277" s="22" t="s">
        <v>73</v>
      </c>
      <c r="I277" s="9" t="s">
        <v>646</v>
      </c>
      <c r="J277" s="19" t="s">
        <v>129</v>
      </c>
      <c r="K277" s="20"/>
    </row>
    <row r="278" spans="1:11" ht="15.75" customHeight="1" x14ac:dyDescent="0.25">
      <c r="A278" s="7">
        <v>19</v>
      </c>
      <c r="B278" s="7" t="s">
        <v>190</v>
      </c>
      <c r="C278" s="7">
        <v>2</v>
      </c>
      <c r="D278" s="21" t="s">
        <v>141</v>
      </c>
      <c r="E278" s="9" t="s">
        <v>656</v>
      </c>
      <c r="F278" s="7" t="s">
        <v>65</v>
      </c>
      <c r="G278" s="7" t="s">
        <v>236</v>
      </c>
      <c r="H278" s="22" t="s">
        <v>73</v>
      </c>
      <c r="I278" s="9" t="s">
        <v>657</v>
      </c>
      <c r="J278" s="19" t="s">
        <v>129</v>
      </c>
      <c r="K278" s="20"/>
    </row>
    <row r="279" spans="1:11" ht="15.75" customHeight="1" x14ac:dyDescent="0.25">
      <c r="A279" s="7">
        <v>19</v>
      </c>
      <c r="B279" s="7" t="s">
        <v>190</v>
      </c>
      <c r="C279" s="7">
        <v>3</v>
      </c>
      <c r="D279" s="21" t="s">
        <v>141</v>
      </c>
      <c r="E279" s="9" t="s">
        <v>658</v>
      </c>
      <c r="F279" s="7" t="s">
        <v>65</v>
      </c>
      <c r="G279" s="7" t="s">
        <v>236</v>
      </c>
      <c r="H279" s="22" t="s">
        <v>73</v>
      </c>
      <c r="I279" s="9" t="s">
        <v>650</v>
      </c>
      <c r="J279" s="19" t="s">
        <v>129</v>
      </c>
      <c r="K279" s="20"/>
    </row>
    <row r="280" spans="1:11" ht="15.75" customHeight="1" x14ac:dyDescent="0.25">
      <c r="A280" s="7">
        <v>19</v>
      </c>
      <c r="B280" s="7" t="s">
        <v>190</v>
      </c>
      <c r="C280" s="7">
        <v>4</v>
      </c>
      <c r="D280" s="21" t="s">
        <v>141</v>
      </c>
      <c r="E280" s="9" t="s">
        <v>659</v>
      </c>
      <c r="F280" s="7" t="s">
        <v>65</v>
      </c>
      <c r="G280" s="7" t="s">
        <v>236</v>
      </c>
      <c r="H280" s="22" t="s">
        <v>73</v>
      </c>
      <c r="I280" s="9" t="s">
        <v>660</v>
      </c>
      <c r="J280" s="19" t="s">
        <v>129</v>
      </c>
      <c r="K280" s="20"/>
    </row>
    <row r="281" spans="1:11" ht="15.75" customHeight="1" x14ac:dyDescent="0.25">
      <c r="A281" s="7">
        <v>19</v>
      </c>
      <c r="B281" s="7" t="s">
        <v>190</v>
      </c>
      <c r="C281" s="7">
        <v>5</v>
      </c>
      <c r="D281" s="21" t="s">
        <v>141</v>
      </c>
      <c r="E281" s="9" t="s">
        <v>661</v>
      </c>
      <c r="F281" s="7" t="s">
        <v>65</v>
      </c>
      <c r="G281" s="7" t="s">
        <v>236</v>
      </c>
      <c r="H281" s="22" t="s">
        <v>73</v>
      </c>
      <c r="I281" s="9" t="s">
        <v>650</v>
      </c>
      <c r="J281" s="19" t="s">
        <v>129</v>
      </c>
      <c r="K281" s="20"/>
    </row>
    <row r="282" spans="1:11" ht="15.75" customHeight="1" x14ac:dyDescent="0.25">
      <c r="A282" s="7">
        <v>19</v>
      </c>
      <c r="B282" s="7" t="s">
        <v>190</v>
      </c>
      <c r="C282" s="7">
        <v>6</v>
      </c>
      <c r="D282" s="21" t="s">
        <v>141</v>
      </c>
      <c r="E282" s="9" t="s">
        <v>662</v>
      </c>
      <c r="F282" s="7" t="s">
        <v>65</v>
      </c>
      <c r="G282" s="7" t="s">
        <v>236</v>
      </c>
      <c r="H282" s="22" t="s">
        <v>73</v>
      </c>
      <c r="I282" s="9" t="s">
        <v>660</v>
      </c>
      <c r="J282" s="19" t="s">
        <v>129</v>
      </c>
      <c r="K282" s="20"/>
    </row>
    <row r="283" spans="1:11" ht="15.75" customHeight="1" x14ac:dyDescent="0.25">
      <c r="A283" s="7">
        <v>19</v>
      </c>
      <c r="B283" s="7" t="s">
        <v>190</v>
      </c>
      <c r="C283" s="7">
        <v>7</v>
      </c>
      <c r="D283" s="21" t="s">
        <v>141</v>
      </c>
      <c r="E283" s="9" t="s">
        <v>663</v>
      </c>
      <c r="F283" s="7" t="s">
        <v>65</v>
      </c>
      <c r="G283" s="7" t="s">
        <v>236</v>
      </c>
      <c r="H283" s="22" t="s">
        <v>73</v>
      </c>
      <c r="I283" s="9" t="s">
        <v>657</v>
      </c>
      <c r="J283" s="19" t="s">
        <v>129</v>
      </c>
      <c r="K283" s="20"/>
    </row>
    <row r="284" spans="1:11" ht="15.75" customHeight="1" x14ac:dyDescent="0.25">
      <c r="A284" s="7">
        <v>19</v>
      </c>
      <c r="B284" s="7" t="s">
        <v>190</v>
      </c>
      <c r="C284" s="7">
        <v>8</v>
      </c>
      <c r="D284" s="21" t="s">
        <v>141</v>
      </c>
      <c r="E284" s="9" t="s">
        <v>664</v>
      </c>
      <c r="F284" s="7" t="s">
        <v>65</v>
      </c>
      <c r="G284" s="7" t="s">
        <v>236</v>
      </c>
      <c r="H284" s="22" t="s">
        <v>73</v>
      </c>
      <c r="I284" s="9" t="s">
        <v>665</v>
      </c>
      <c r="J284" s="19" t="s">
        <v>129</v>
      </c>
      <c r="K284" s="20"/>
    </row>
    <row r="285" spans="1:11" ht="15.75" customHeight="1" x14ac:dyDescent="0.25">
      <c r="A285" s="7">
        <v>19</v>
      </c>
      <c r="B285" s="7" t="s">
        <v>190</v>
      </c>
      <c r="C285" s="7">
        <v>9</v>
      </c>
      <c r="D285" s="21" t="s">
        <v>141</v>
      </c>
      <c r="E285" s="9" t="s">
        <v>666</v>
      </c>
      <c r="F285" s="7" t="s">
        <v>65</v>
      </c>
      <c r="G285" s="7" t="s">
        <v>236</v>
      </c>
      <c r="H285" s="22" t="s">
        <v>73</v>
      </c>
      <c r="I285" s="9" t="s">
        <v>667</v>
      </c>
      <c r="J285" s="19" t="s">
        <v>129</v>
      </c>
      <c r="K285" s="20"/>
    </row>
    <row r="286" spans="1:11" ht="15.75" customHeight="1" x14ac:dyDescent="0.25">
      <c r="A286" s="7">
        <v>19</v>
      </c>
      <c r="B286" s="7" t="s">
        <v>190</v>
      </c>
      <c r="C286" s="7">
        <v>10</v>
      </c>
      <c r="D286" s="21" t="s">
        <v>141</v>
      </c>
      <c r="E286" s="9" t="s">
        <v>668</v>
      </c>
      <c r="F286" s="7" t="s">
        <v>212</v>
      </c>
      <c r="G286" s="7" t="s">
        <v>226</v>
      </c>
      <c r="H286" s="22" t="s">
        <v>73</v>
      </c>
      <c r="I286" s="9" t="s">
        <v>144</v>
      </c>
      <c r="J286" s="19" t="s">
        <v>129</v>
      </c>
      <c r="K286" s="20"/>
    </row>
    <row r="287" spans="1:11" ht="15.75" customHeight="1" x14ac:dyDescent="0.25">
      <c r="A287" s="11">
        <v>20</v>
      </c>
      <c r="B287" s="11" t="s">
        <v>56</v>
      </c>
      <c r="C287" s="11">
        <v>1</v>
      </c>
      <c r="D287" s="12" t="s">
        <v>146</v>
      </c>
      <c r="E287" s="14" t="s">
        <v>669</v>
      </c>
      <c r="F287" s="11" t="s">
        <v>212</v>
      </c>
      <c r="G287" s="11" t="s">
        <v>213</v>
      </c>
      <c r="H287" s="18" t="s">
        <v>73</v>
      </c>
      <c r="I287" s="14" t="s">
        <v>149</v>
      </c>
      <c r="J287" s="19" t="s">
        <v>129</v>
      </c>
      <c r="K287" s="20"/>
    </row>
    <row r="288" spans="1:11" ht="15.75" customHeight="1" x14ac:dyDescent="0.25">
      <c r="A288" s="11">
        <v>20</v>
      </c>
      <c r="B288" s="11" t="s">
        <v>56</v>
      </c>
      <c r="C288" s="11">
        <v>2</v>
      </c>
      <c r="D288" s="12" t="s">
        <v>146</v>
      </c>
      <c r="E288" s="14" t="s">
        <v>670</v>
      </c>
      <c r="F288" s="11" t="s">
        <v>212</v>
      </c>
      <c r="G288" s="11" t="s">
        <v>213</v>
      </c>
      <c r="H288" s="18" t="s">
        <v>73</v>
      </c>
      <c r="I288" s="14" t="s">
        <v>149</v>
      </c>
      <c r="J288" s="19" t="s">
        <v>129</v>
      </c>
      <c r="K288" s="20"/>
    </row>
    <row r="289" spans="1:11" ht="15.75" customHeight="1" x14ac:dyDescent="0.25">
      <c r="A289" s="11">
        <v>20</v>
      </c>
      <c r="B289" s="11" t="s">
        <v>56</v>
      </c>
      <c r="C289" s="11">
        <v>3</v>
      </c>
      <c r="D289" s="12" t="s">
        <v>146</v>
      </c>
      <c r="E289" s="14" t="s">
        <v>671</v>
      </c>
      <c r="F289" s="11" t="s">
        <v>212</v>
      </c>
      <c r="G289" s="11" t="s">
        <v>213</v>
      </c>
      <c r="H289" s="18" t="s">
        <v>73</v>
      </c>
      <c r="I289" s="14" t="s">
        <v>149</v>
      </c>
      <c r="J289" s="19" t="s">
        <v>129</v>
      </c>
      <c r="K289" s="20"/>
    </row>
    <row r="290" spans="1:11" ht="15.75" customHeight="1" x14ac:dyDescent="0.25">
      <c r="A290" s="11">
        <v>20</v>
      </c>
      <c r="B290" s="11" t="s">
        <v>56</v>
      </c>
      <c r="C290" s="11">
        <v>4</v>
      </c>
      <c r="D290" s="12" t="s">
        <v>146</v>
      </c>
      <c r="E290" s="14" t="s">
        <v>672</v>
      </c>
      <c r="F290" s="11" t="s">
        <v>212</v>
      </c>
      <c r="G290" s="11" t="s">
        <v>213</v>
      </c>
      <c r="H290" s="18" t="s">
        <v>73</v>
      </c>
      <c r="I290" s="14" t="s">
        <v>149</v>
      </c>
      <c r="J290" s="19" t="s">
        <v>129</v>
      </c>
      <c r="K290" s="20"/>
    </row>
    <row r="291" spans="1:11" ht="15.75" customHeight="1" x14ac:dyDescent="0.25">
      <c r="A291" s="11">
        <v>20</v>
      </c>
      <c r="B291" s="11" t="s">
        <v>56</v>
      </c>
      <c r="C291" s="11">
        <v>5</v>
      </c>
      <c r="D291" s="12" t="s">
        <v>146</v>
      </c>
      <c r="E291" s="14" t="s">
        <v>673</v>
      </c>
      <c r="F291" s="11" t="s">
        <v>212</v>
      </c>
      <c r="G291" s="11" t="s">
        <v>213</v>
      </c>
      <c r="H291" s="18" t="s">
        <v>73</v>
      </c>
      <c r="I291" s="14" t="s">
        <v>149</v>
      </c>
      <c r="J291" s="19" t="s">
        <v>129</v>
      </c>
      <c r="K291" s="20"/>
    </row>
    <row r="292" spans="1:11" ht="15.75" customHeight="1" x14ac:dyDescent="0.25">
      <c r="A292" s="7">
        <v>20</v>
      </c>
      <c r="B292" s="7" t="s">
        <v>190</v>
      </c>
      <c r="C292" s="7">
        <v>1</v>
      </c>
      <c r="D292" s="21" t="s">
        <v>146</v>
      </c>
      <c r="E292" s="9" t="s">
        <v>674</v>
      </c>
      <c r="F292" s="7" t="s">
        <v>212</v>
      </c>
      <c r="G292" s="7" t="s">
        <v>213</v>
      </c>
      <c r="H292" s="22" t="s">
        <v>73</v>
      </c>
      <c r="I292" s="9" t="s">
        <v>149</v>
      </c>
      <c r="J292" s="19" t="s">
        <v>129</v>
      </c>
      <c r="K292" s="20"/>
    </row>
    <row r="293" spans="1:11" ht="15.75" customHeight="1" x14ac:dyDescent="0.25">
      <c r="A293" s="7">
        <v>20</v>
      </c>
      <c r="B293" s="7" t="s">
        <v>190</v>
      </c>
      <c r="C293" s="7">
        <v>2</v>
      </c>
      <c r="D293" s="21" t="s">
        <v>146</v>
      </c>
      <c r="E293" s="9" t="s">
        <v>675</v>
      </c>
      <c r="F293" s="7" t="s">
        <v>212</v>
      </c>
      <c r="G293" s="7" t="s">
        <v>213</v>
      </c>
      <c r="H293" s="22" t="s">
        <v>73</v>
      </c>
      <c r="I293" s="9" t="s">
        <v>149</v>
      </c>
      <c r="J293" s="19" t="s">
        <v>129</v>
      </c>
      <c r="K293" s="20"/>
    </row>
    <row r="294" spans="1:11" ht="15.75" customHeight="1" x14ac:dyDescent="0.25">
      <c r="A294" s="7">
        <v>20</v>
      </c>
      <c r="B294" s="7" t="s">
        <v>190</v>
      </c>
      <c r="C294" s="7">
        <v>3</v>
      </c>
      <c r="D294" s="21" t="s">
        <v>146</v>
      </c>
      <c r="E294" s="9" t="s">
        <v>676</v>
      </c>
      <c r="F294" s="7" t="s">
        <v>212</v>
      </c>
      <c r="G294" s="7" t="s">
        <v>213</v>
      </c>
      <c r="H294" s="22" t="s">
        <v>73</v>
      </c>
      <c r="I294" s="9" t="s">
        <v>149</v>
      </c>
      <c r="J294" s="19" t="s">
        <v>129</v>
      </c>
      <c r="K294" s="20"/>
    </row>
    <row r="295" spans="1:11" ht="15.75" customHeight="1" x14ac:dyDescent="0.25">
      <c r="A295" s="7">
        <v>20</v>
      </c>
      <c r="B295" s="7" t="s">
        <v>190</v>
      </c>
      <c r="C295" s="7">
        <v>4</v>
      </c>
      <c r="D295" s="21" t="s">
        <v>146</v>
      </c>
      <c r="E295" s="9" t="s">
        <v>677</v>
      </c>
      <c r="F295" s="7" t="s">
        <v>212</v>
      </c>
      <c r="G295" s="7" t="s">
        <v>213</v>
      </c>
      <c r="H295" s="22" t="s">
        <v>73</v>
      </c>
      <c r="I295" s="9" t="s">
        <v>149</v>
      </c>
      <c r="J295" s="19" t="s">
        <v>129</v>
      </c>
      <c r="K295" s="20"/>
    </row>
    <row r="296" spans="1:11" ht="15.75" customHeight="1" x14ac:dyDescent="0.25">
      <c r="A296" s="7">
        <v>20</v>
      </c>
      <c r="B296" s="7" t="s">
        <v>190</v>
      </c>
      <c r="C296" s="7">
        <v>5</v>
      </c>
      <c r="D296" s="21" t="s">
        <v>146</v>
      </c>
      <c r="E296" s="9" t="s">
        <v>678</v>
      </c>
      <c r="F296" s="7" t="s">
        <v>212</v>
      </c>
      <c r="G296" s="7" t="s">
        <v>213</v>
      </c>
      <c r="H296" s="22" t="s">
        <v>73</v>
      </c>
      <c r="I296" s="9" t="s">
        <v>149</v>
      </c>
      <c r="J296" s="19" t="s">
        <v>129</v>
      </c>
      <c r="K296" s="20"/>
    </row>
    <row r="297" spans="1:11" ht="15.75" customHeight="1" x14ac:dyDescent="0.25">
      <c r="A297" s="7">
        <v>20</v>
      </c>
      <c r="B297" s="7" t="s">
        <v>190</v>
      </c>
      <c r="C297" s="7">
        <v>6</v>
      </c>
      <c r="D297" s="21" t="s">
        <v>146</v>
      </c>
      <c r="E297" s="9" t="s">
        <v>679</v>
      </c>
      <c r="F297" s="7" t="s">
        <v>212</v>
      </c>
      <c r="G297" s="7" t="s">
        <v>213</v>
      </c>
      <c r="H297" s="22" t="s">
        <v>73</v>
      </c>
      <c r="I297" s="9" t="s">
        <v>149</v>
      </c>
      <c r="J297" s="19" t="s">
        <v>129</v>
      </c>
      <c r="K297" s="20"/>
    </row>
    <row r="298" spans="1:11" ht="15.75" customHeight="1" x14ac:dyDescent="0.25">
      <c r="A298" s="7">
        <v>20</v>
      </c>
      <c r="B298" s="7" t="s">
        <v>190</v>
      </c>
      <c r="C298" s="7">
        <v>7</v>
      </c>
      <c r="D298" s="21" t="s">
        <v>146</v>
      </c>
      <c r="E298" s="9" t="s">
        <v>680</v>
      </c>
      <c r="F298" s="7" t="s">
        <v>212</v>
      </c>
      <c r="G298" s="7" t="s">
        <v>213</v>
      </c>
      <c r="H298" s="22" t="s">
        <v>73</v>
      </c>
      <c r="I298" s="9" t="s">
        <v>149</v>
      </c>
      <c r="J298" s="19" t="s">
        <v>129</v>
      </c>
      <c r="K298" s="20"/>
    </row>
    <row r="299" spans="1:11" ht="15.75" customHeight="1" x14ac:dyDescent="0.25">
      <c r="A299" s="7">
        <v>20</v>
      </c>
      <c r="B299" s="7" t="s">
        <v>190</v>
      </c>
      <c r="C299" s="7">
        <v>8</v>
      </c>
      <c r="D299" s="21" t="s">
        <v>146</v>
      </c>
      <c r="E299" s="9" t="s">
        <v>681</v>
      </c>
      <c r="F299" s="7" t="s">
        <v>212</v>
      </c>
      <c r="G299" s="7" t="s">
        <v>213</v>
      </c>
      <c r="H299" s="22" t="s">
        <v>73</v>
      </c>
      <c r="I299" s="9" t="s">
        <v>149</v>
      </c>
      <c r="J299" s="19" t="s">
        <v>129</v>
      </c>
      <c r="K299" s="20"/>
    </row>
    <row r="300" spans="1:11" ht="15.75" customHeight="1" x14ac:dyDescent="0.25">
      <c r="A300" s="7">
        <v>20</v>
      </c>
      <c r="B300" s="7" t="s">
        <v>190</v>
      </c>
      <c r="C300" s="7">
        <v>9</v>
      </c>
      <c r="D300" s="21" t="s">
        <v>146</v>
      </c>
      <c r="E300" s="9" t="s">
        <v>682</v>
      </c>
      <c r="F300" s="7" t="s">
        <v>212</v>
      </c>
      <c r="G300" s="7" t="s">
        <v>213</v>
      </c>
      <c r="H300" s="22" t="s">
        <v>73</v>
      </c>
      <c r="I300" s="9" t="s">
        <v>149</v>
      </c>
      <c r="J300" s="19" t="s">
        <v>129</v>
      </c>
      <c r="K300" s="20"/>
    </row>
    <row r="301" spans="1:11" ht="15.75" customHeight="1" x14ac:dyDescent="0.25">
      <c r="A301" s="7">
        <v>20</v>
      </c>
      <c r="B301" s="7" t="s">
        <v>190</v>
      </c>
      <c r="C301" s="7">
        <v>10</v>
      </c>
      <c r="D301" s="21" t="s">
        <v>146</v>
      </c>
      <c r="E301" s="9" t="s">
        <v>683</v>
      </c>
      <c r="F301" s="7" t="s">
        <v>212</v>
      </c>
      <c r="G301" s="7" t="s">
        <v>213</v>
      </c>
      <c r="H301" s="22" t="s">
        <v>73</v>
      </c>
      <c r="I301" s="9" t="s">
        <v>149</v>
      </c>
      <c r="J301" s="19" t="s">
        <v>129</v>
      </c>
      <c r="K301" s="20"/>
    </row>
    <row r="302" spans="1:11" ht="15.75" customHeight="1" x14ac:dyDescent="0.25">
      <c r="A302" s="11">
        <v>21</v>
      </c>
      <c r="B302" s="11" t="s">
        <v>56</v>
      </c>
      <c r="C302" s="11">
        <v>1</v>
      </c>
      <c r="D302" s="12" t="s">
        <v>150</v>
      </c>
      <c r="E302" s="14" t="s">
        <v>684</v>
      </c>
      <c r="F302" s="11" t="s">
        <v>212</v>
      </c>
      <c r="G302" s="11" t="s">
        <v>213</v>
      </c>
      <c r="H302" s="18" t="s">
        <v>73</v>
      </c>
      <c r="I302" s="14" t="s">
        <v>153</v>
      </c>
      <c r="J302" s="19" t="s">
        <v>129</v>
      </c>
      <c r="K302" s="20"/>
    </row>
    <row r="303" spans="1:11" ht="15.75" customHeight="1" x14ac:dyDescent="0.25">
      <c r="A303" s="11">
        <v>21</v>
      </c>
      <c r="B303" s="11" t="s">
        <v>56</v>
      </c>
      <c r="C303" s="11">
        <v>2</v>
      </c>
      <c r="D303" s="12" t="s">
        <v>150</v>
      </c>
      <c r="E303" s="14" t="s">
        <v>685</v>
      </c>
      <c r="F303" s="11" t="s">
        <v>212</v>
      </c>
      <c r="G303" s="11" t="s">
        <v>213</v>
      </c>
      <c r="H303" s="18" t="s">
        <v>73</v>
      </c>
      <c r="I303" s="14" t="s">
        <v>153</v>
      </c>
      <c r="J303" s="19" t="s">
        <v>129</v>
      </c>
      <c r="K303" s="20"/>
    </row>
    <row r="304" spans="1:11" ht="15.75" customHeight="1" x14ac:dyDescent="0.25">
      <c r="A304" s="11">
        <v>21</v>
      </c>
      <c r="B304" s="11" t="s">
        <v>56</v>
      </c>
      <c r="C304" s="11">
        <v>3</v>
      </c>
      <c r="D304" s="12" t="s">
        <v>150</v>
      </c>
      <c r="E304" s="14" t="s">
        <v>686</v>
      </c>
      <c r="F304" s="11" t="s">
        <v>65</v>
      </c>
      <c r="G304" s="11" t="s">
        <v>244</v>
      </c>
      <c r="H304" s="18" t="s">
        <v>73</v>
      </c>
      <c r="I304" s="14" t="s">
        <v>687</v>
      </c>
      <c r="J304" s="19" t="s">
        <v>129</v>
      </c>
      <c r="K304" s="20"/>
    </row>
    <row r="305" spans="1:11" ht="15.75" customHeight="1" x14ac:dyDescent="0.25">
      <c r="A305" s="11">
        <v>21</v>
      </c>
      <c r="B305" s="11" t="s">
        <v>56</v>
      </c>
      <c r="C305" s="11">
        <v>4</v>
      </c>
      <c r="D305" s="12" t="s">
        <v>150</v>
      </c>
      <c r="E305" s="14" t="s">
        <v>688</v>
      </c>
      <c r="F305" s="11" t="s">
        <v>65</v>
      </c>
      <c r="G305" s="11" t="s">
        <v>244</v>
      </c>
      <c r="H305" s="18" t="s">
        <v>73</v>
      </c>
      <c r="I305" s="14" t="s">
        <v>687</v>
      </c>
      <c r="J305" s="19" t="s">
        <v>129</v>
      </c>
      <c r="K305" s="20"/>
    </row>
    <row r="306" spans="1:11" ht="15.75" customHeight="1" x14ac:dyDescent="0.25">
      <c r="A306" s="11">
        <v>21</v>
      </c>
      <c r="B306" s="11" t="s">
        <v>56</v>
      </c>
      <c r="C306" s="11">
        <v>5</v>
      </c>
      <c r="D306" s="12" t="s">
        <v>150</v>
      </c>
      <c r="E306" s="14" t="s">
        <v>689</v>
      </c>
      <c r="F306" s="11" t="s">
        <v>65</v>
      </c>
      <c r="G306" s="11" t="s">
        <v>244</v>
      </c>
      <c r="H306" s="18" t="s">
        <v>73</v>
      </c>
      <c r="I306" s="14" t="s">
        <v>690</v>
      </c>
      <c r="J306" s="19" t="s">
        <v>129</v>
      </c>
      <c r="K306" s="20"/>
    </row>
    <row r="307" spans="1:11" ht="15.75" customHeight="1" x14ac:dyDescent="0.25">
      <c r="A307" s="7">
        <v>21</v>
      </c>
      <c r="B307" s="7" t="s">
        <v>190</v>
      </c>
      <c r="C307" s="7">
        <v>1</v>
      </c>
      <c r="D307" s="21" t="s">
        <v>150</v>
      </c>
      <c r="E307" s="9" t="s">
        <v>691</v>
      </c>
      <c r="F307" s="7" t="s">
        <v>65</v>
      </c>
      <c r="G307" s="7" t="s">
        <v>244</v>
      </c>
      <c r="H307" s="22" t="s">
        <v>73</v>
      </c>
      <c r="I307" s="9" t="s">
        <v>687</v>
      </c>
      <c r="J307" s="19" t="s">
        <v>129</v>
      </c>
      <c r="K307" s="20"/>
    </row>
    <row r="308" spans="1:11" ht="15.75" customHeight="1" x14ac:dyDescent="0.25">
      <c r="A308" s="7">
        <v>21</v>
      </c>
      <c r="B308" s="7" t="s">
        <v>190</v>
      </c>
      <c r="C308" s="7">
        <v>2</v>
      </c>
      <c r="D308" s="21" t="s">
        <v>150</v>
      </c>
      <c r="E308" s="9" t="s">
        <v>692</v>
      </c>
      <c r="F308" s="7" t="s">
        <v>212</v>
      </c>
      <c r="G308" s="7" t="s">
        <v>226</v>
      </c>
      <c r="H308" s="22" t="s">
        <v>73</v>
      </c>
      <c r="I308" s="9" t="s">
        <v>153</v>
      </c>
      <c r="J308" s="19" t="s">
        <v>129</v>
      </c>
      <c r="K308" s="20"/>
    </row>
    <row r="309" spans="1:11" ht="15.75" customHeight="1" x14ac:dyDescent="0.25">
      <c r="A309" s="7">
        <v>21</v>
      </c>
      <c r="B309" s="7" t="s">
        <v>190</v>
      </c>
      <c r="C309" s="7">
        <v>3</v>
      </c>
      <c r="D309" s="21" t="s">
        <v>150</v>
      </c>
      <c r="E309" s="9" t="s">
        <v>693</v>
      </c>
      <c r="F309" s="7" t="s">
        <v>212</v>
      </c>
      <c r="G309" s="7" t="s">
        <v>226</v>
      </c>
      <c r="H309" s="22" t="s">
        <v>73</v>
      </c>
      <c r="I309" s="9" t="s">
        <v>153</v>
      </c>
      <c r="J309" s="19" t="s">
        <v>129</v>
      </c>
      <c r="K309" s="20"/>
    </row>
    <row r="310" spans="1:11" ht="15.75" customHeight="1" x14ac:dyDescent="0.25">
      <c r="A310" s="7">
        <v>21</v>
      </c>
      <c r="B310" s="7" t="s">
        <v>190</v>
      </c>
      <c r="C310" s="7">
        <v>4</v>
      </c>
      <c r="D310" s="21" t="s">
        <v>150</v>
      </c>
      <c r="E310" s="9" t="s">
        <v>694</v>
      </c>
      <c r="F310" s="7" t="s">
        <v>212</v>
      </c>
      <c r="G310" s="7" t="s">
        <v>226</v>
      </c>
      <c r="H310" s="22" t="s">
        <v>73</v>
      </c>
      <c r="I310" s="9" t="s">
        <v>153</v>
      </c>
      <c r="J310" s="19" t="s">
        <v>129</v>
      </c>
      <c r="K310" s="20"/>
    </row>
    <row r="311" spans="1:11" ht="15.75" customHeight="1" x14ac:dyDescent="0.25">
      <c r="A311" s="7">
        <v>21</v>
      </c>
      <c r="B311" s="7" t="s">
        <v>190</v>
      </c>
      <c r="C311" s="7">
        <v>5</v>
      </c>
      <c r="D311" s="21" t="s">
        <v>150</v>
      </c>
      <c r="E311" s="9" t="s">
        <v>695</v>
      </c>
      <c r="F311" s="7" t="s">
        <v>212</v>
      </c>
      <c r="G311" s="7" t="s">
        <v>226</v>
      </c>
      <c r="H311" s="22" t="s">
        <v>73</v>
      </c>
      <c r="I311" s="9" t="s">
        <v>153</v>
      </c>
      <c r="J311" s="19" t="s">
        <v>129</v>
      </c>
      <c r="K311" s="20"/>
    </row>
    <row r="312" spans="1:11" ht="15.75" customHeight="1" x14ac:dyDescent="0.25">
      <c r="A312" s="7">
        <v>21</v>
      </c>
      <c r="B312" s="7" t="s">
        <v>190</v>
      </c>
      <c r="C312" s="7">
        <v>6</v>
      </c>
      <c r="D312" s="21" t="s">
        <v>150</v>
      </c>
      <c r="E312" s="9" t="s">
        <v>696</v>
      </c>
      <c r="F312" s="7" t="s">
        <v>65</v>
      </c>
      <c r="G312" s="7" t="s">
        <v>253</v>
      </c>
      <c r="H312" s="22" t="s">
        <v>73</v>
      </c>
      <c r="I312" s="9" t="s">
        <v>687</v>
      </c>
      <c r="J312" s="19" t="s">
        <v>129</v>
      </c>
      <c r="K312" s="20"/>
    </row>
    <row r="313" spans="1:11" ht="15.75" customHeight="1" x14ac:dyDescent="0.25">
      <c r="A313" s="7">
        <v>21</v>
      </c>
      <c r="B313" s="7" t="s">
        <v>190</v>
      </c>
      <c r="C313" s="7">
        <v>7</v>
      </c>
      <c r="D313" s="21" t="s">
        <v>150</v>
      </c>
      <c r="E313" s="9" t="s">
        <v>697</v>
      </c>
      <c r="F313" s="7" t="s">
        <v>65</v>
      </c>
      <c r="G313" s="7" t="s">
        <v>253</v>
      </c>
      <c r="H313" s="22" t="s">
        <v>73</v>
      </c>
      <c r="I313" s="9" t="s">
        <v>698</v>
      </c>
      <c r="J313" s="19" t="s">
        <v>129</v>
      </c>
      <c r="K313" s="20"/>
    </row>
    <row r="314" spans="1:11" ht="15.75" customHeight="1" x14ac:dyDescent="0.25">
      <c r="A314" s="7">
        <v>21</v>
      </c>
      <c r="B314" s="7" t="s">
        <v>190</v>
      </c>
      <c r="C314" s="7">
        <v>8</v>
      </c>
      <c r="D314" s="21" t="s">
        <v>150</v>
      </c>
      <c r="E314" s="9" t="s">
        <v>699</v>
      </c>
      <c r="F314" s="7" t="s">
        <v>65</v>
      </c>
      <c r="G314" s="7" t="s">
        <v>253</v>
      </c>
      <c r="H314" s="22" t="s">
        <v>73</v>
      </c>
      <c r="I314" s="9" t="s">
        <v>700</v>
      </c>
      <c r="J314" s="19" t="s">
        <v>129</v>
      </c>
      <c r="K314" s="20"/>
    </row>
    <row r="315" spans="1:11" ht="15.75" customHeight="1" x14ac:dyDescent="0.25">
      <c r="A315" s="7">
        <v>21</v>
      </c>
      <c r="B315" s="7" t="s">
        <v>190</v>
      </c>
      <c r="C315" s="7">
        <v>9</v>
      </c>
      <c r="D315" s="21" t="s">
        <v>150</v>
      </c>
      <c r="E315" s="9" t="s">
        <v>701</v>
      </c>
      <c r="F315" s="7" t="s">
        <v>65</v>
      </c>
      <c r="G315" s="7" t="s">
        <v>253</v>
      </c>
      <c r="H315" s="22" t="s">
        <v>73</v>
      </c>
      <c r="I315" s="9" t="s">
        <v>687</v>
      </c>
      <c r="J315" s="19" t="s">
        <v>129</v>
      </c>
      <c r="K315" s="20"/>
    </row>
    <row r="316" spans="1:11" ht="15.75" customHeight="1" x14ac:dyDescent="0.25">
      <c r="A316" s="7">
        <v>21</v>
      </c>
      <c r="B316" s="7" t="s">
        <v>190</v>
      </c>
      <c r="C316" s="7">
        <v>10</v>
      </c>
      <c r="D316" s="21" t="s">
        <v>150</v>
      </c>
      <c r="E316" s="9" t="s">
        <v>702</v>
      </c>
      <c r="F316" s="7" t="s">
        <v>65</v>
      </c>
      <c r="G316" s="7" t="s">
        <v>253</v>
      </c>
      <c r="H316" s="22" t="s">
        <v>73</v>
      </c>
      <c r="I316" s="9" t="s">
        <v>687</v>
      </c>
      <c r="J316" s="19" t="s">
        <v>129</v>
      </c>
      <c r="K316" s="20"/>
    </row>
    <row r="317" spans="1:11" ht="15.75" customHeight="1" x14ac:dyDescent="0.25">
      <c r="A317" s="11">
        <v>22</v>
      </c>
      <c r="B317" s="11" t="s">
        <v>56</v>
      </c>
      <c r="C317" s="11">
        <v>1</v>
      </c>
      <c r="D317" s="12" t="s">
        <v>154</v>
      </c>
      <c r="E317" s="14" t="s">
        <v>703</v>
      </c>
      <c r="F317" s="11" t="s">
        <v>65</v>
      </c>
      <c r="G317" s="11" t="s">
        <v>244</v>
      </c>
      <c r="H317" s="18" t="s">
        <v>73</v>
      </c>
      <c r="I317" s="14" t="s">
        <v>704</v>
      </c>
      <c r="J317" s="19" t="s">
        <v>129</v>
      </c>
      <c r="K317" s="20"/>
    </row>
    <row r="318" spans="1:11" ht="15.75" customHeight="1" x14ac:dyDescent="0.25">
      <c r="A318" s="11">
        <v>22</v>
      </c>
      <c r="B318" s="11" t="s">
        <v>56</v>
      </c>
      <c r="C318" s="11">
        <v>2</v>
      </c>
      <c r="D318" s="12" t="s">
        <v>154</v>
      </c>
      <c r="E318" s="14" t="s">
        <v>705</v>
      </c>
      <c r="F318" s="11" t="s">
        <v>65</v>
      </c>
      <c r="G318" s="11" t="s">
        <v>244</v>
      </c>
      <c r="H318" s="18" t="s">
        <v>73</v>
      </c>
      <c r="I318" s="14" t="s">
        <v>706</v>
      </c>
      <c r="J318" s="19" t="s">
        <v>129</v>
      </c>
      <c r="K318" s="20"/>
    </row>
    <row r="319" spans="1:11" ht="15.75" customHeight="1" x14ac:dyDescent="0.25">
      <c r="A319" s="11">
        <v>22</v>
      </c>
      <c r="B319" s="11" t="s">
        <v>56</v>
      </c>
      <c r="C319" s="11">
        <v>3</v>
      </c>
      <c r="D319" s="12" t="s">
        <v>154</v>
      </c>
      <c r="E319" s="14" t="s">
        <v>707</v>
      </c>
      <c r="F319" s="11" t="s">
        <v>65</v>
      </c>
      <c r="G319" s="11" t="s">
        <v>244</v>
      </c>
      <c r="H319" s="18" t="s">
        <v>73</v>
      </c>
      <c r="I319" s="14" t="s">
        <v>704</v>
      </c>
      <c r="J319" s="19" t="s">
        <v>129</v>
      </c>
      <c r="K319" s="20"/>
    </row>
    <row r="320" spans="1:11" ht="15.75" customHeight="1" x14ac:dyDescent="0.25">
      <c r="A320" s="11">
        <v>22</v>
      </c>
      <c r="B320" s="11" t="s">
        <v>56</v>
      </c>
      <c r="C320" s="11">
        <v>4</v>
      </c>
      <c r="D320" s="12" t="s">
        <v>154</v>
      </c>
      <c r="E320" s="14" t="s">
        <v>708</v>
      </c>
      <c r="F320" s="11" t="s">
        <v>65</v>
      </c>
      <c r="G320" s="11" t="s">
        <v>244</v>
      </c>
      <c r="H320" s="18" t="s">
        <v>73</v>
      </c>
      <c r="I320" s="14" t="s">
        <v>709</v>
      </c>
      <c r="J320" s="19" t="s">
        <v>129</v>
      </c>
      <c r="K320" s="20"/>
    </row>
    <row r="321" spans="1:11" ht="15.75" customHeight="1" x14ac:dyDescent="0.25">
      <c r="A321" s="11">
        <v>22</v>
      </c>
      <c r="B321" s="11" t="s">
        <v>56</v>
      </c>
      <c r="C321" s="11">
        <v>5</v>
      </c>
      <c r="D321" s="12" t="s">
        <v>154</v>
      </c>
      <c r="E321" s="14" t="s">
        <v>710</v>
      </c>
      <c r="F321" s="11" t="s">
        <v>65</v>
      </c>
      <c r="G321" s="11" t="s">
        <v>244</v>
      </c>
      <c r="H321" s="18" t="s">
        <v>73</v>
      </c>
      <c r="I321" s="14" t="s">
        <v>709</v>
      </c>
      <c r="J321" s="19" t="s">
        <v>129</v>
      </c>
      <c r="K321" s="20"/>
    </row>
    <row r="322" spans="1:11" ht="15.75" customHeight="1" x14ac:dyDescent="0.25">
      <c r="A322" s="7">
        <v>22</v>
      </c>
      <c r="B322" s="7" t="s">
        <v>190</v>
      </c>
      <c r="C322" s="7">
        <v>1</v>
      </c>
      <c r="D322" s="21" t="s">
        <v>154</v>
      </c>
      <c r="E322" s="9" t="s">
        <v>711</v>
      </c>
      <c r="F322" s="7" t="s">
        <v>65</v>
      </c>
      <c r="G322" s="7" t="s">
        <v>244</v>
      </c>
      <c r="H322" s="22" t="s">
        <v>73</v>
      </c>
      <c r="I322" s="9" t="s">
        <v>712</v>
      </c>
      <c r="J322" s="19" t="s">
        <v>129</v>
      </c>
      <c r="K322" s="20"/>
    </row>
    <row r="323" spans="1:11" ht="15.75" customHeight="1" x14ac:dyDescent="0.25">
      <c r="A323" s="7">
        <v>22</v>
      </c>
      <c r="B323" s="7" t="s">
        <v>190</v>
      </c>
      <c r="C323" s="7">
        <v>2</v>
      </c>
      <c r="D323" s="21" t="s">
        <v>154</v>
      </c>
      <c r="E323" s="9" t="s">
        <v>713</v>
      </c>
      <c r="F323" s="7" t="s">
        <v>65</v>
      </c>
      <c r="G323" s="7" t="s">
        <v>244</v>
      </c>
      <c r="H323" s="22" t="s">
        <v>73</v>
      </c>
      <c r="I323" s="9" t="s">
        <v>714</v>
      </c>
      <c r="J323" s="19" t="s">
        <v>129</v>
      </c>
      <c r="K323" s="20"/>
    </row>
    <row r="324" spans="1:11" ht="15.75" customHeight="1" x14ac:dyDescent="0.25">
      <c r="A324" s="7">
        <v>22</v>
      </c>
      <c r="B324" s="7" t="s">
        <v>190</v>
      </c>
      <c r="C324" s="7">
        <v>3</v>
      </c>
      <c r="D324" s="21" t="s">
        <v>154</v>
      </c>
      <c r="E324" s="9" t="s">
        <v>715</v>
      </c>
      <c r="F324" s="7" t="s">
        <v>212</v>
      </c>
      <c r="G324" s="7" t="s">
        <v>226</v>
      </c>
      <c r="H324" s="22" t="s">
        <v>73</v>
      </c>
      <c r="I324" s="9" t="s">
        <v>158</v>
      </c>
      <c r="J324" s="19" t="s">
        <v>129</v>
      </c>
      <c r="K324" s="20"/>
    </row>
    <row r="325" spans="1:11" ht="15.75" customHeight="1" x14ac:dyDescent="0.25">
      <c r="A325" s="7">
        <v>22</v>
      </c>
      <c r="B325" s="7" t="s">
        <v>190</v>
      </c>
      <c r="C325" s="7">
        <v>4</v>
      </c>
      <c r="D325" s="21" t="s">
        <v>154</v>
      </c>
      <c r="E325" s="9" t="s">
        <v>716</v>
      </c>
      <c r="F325" s="7" t="s">
        <v>65</v>
      </c>
      <c r="G325" s="7" t="s">
        <v>253</v>
      </c>
      <c r="H325" s="22" t="s">
        <v>73</v>
      </c>
      <c r="I325" s="9" t="s">
        <v>717</v>
      </c>
      <c r="J325" s="19" t="s">
        <v>129</v>
      </c>
      <c r="K325" s="20"/>
    </row>
    <row r="326" spans="1:11" ht="15.75" customHeight="1" x14ac:dyDescent="0.25">
      <c r="A326" s="7">
        <v>22</v>
      </c>
      <c r="B326" s="7" t="s">
        <v>190</v>
      </c>
      <c r="C326" s="7">
        <v>5</v>
      </c>
      <c r="D326" s="21" t="s">
        <v>154</v>
      </c>
      <c r="E326" s="9" t="s">
        <v>718</v>
      </c>
      <c r="F326" s="7" t="s">
        <v>65</v>
      </c>
      <c r="G326" s="7" t="s">
        <v>253</v>
      </c>
      <c r="H326" s="22" t="s">
        <v>73</v>
      </c>
      <c r="I326" s="9" t="s">
        <v>712</v>
      </c>
      <c r="J326" s="19" t="s">
        <v>129</v>
      </c>
      <c r="K326" s="20"/>
    </row>
    <row r="327" spans="1:11" ht="15.75" customHeight="1" x14ac:dyDescent="0.25">
      <c r="A327" s="7">
        <v>22</v>
      </c>
      <c r="B327" s="7" t="s">
        <v>190</v>
      </c>
      <c r="C327" s="7">
        <v>6</v>
      </c>
      <c r="D327" s="21" t="s">
        <v>154</v>
      </c>
      <c r="E327" s="9" t="s">
        <v>719</v>
      </c>
      <c r="F327" s="7" t="s">
        <v>65</v>
      </c>
      <c r="G327" s="7" t="s">
        <v>253</v>
      </c>
      <c r="H327" s="22" t="s">
        <v>73</v>
      </c>
      <c r="I327" s="9" t="s">
        <v>720</v>
      </c>
      <c r="J327" s="19" t="s">
        <v>129</v>
      </c>
      <c r="K327" s="20"/>
    </row>
    <row r="328" spans="1:11" ht="15.75" customHeight="1" x14ac:dyDescent="0.25">
      <c r="A328" s="7">
        <v>22</v>
      </c>
      <c r="B328" s="7" t="s">
        <v>190</v>
      </c>
      <c r="C328" s="7">
        <v>7</v>
      </c>
      <c r="D328" s="21" t="s">
        <v>154</v>
      </c>
      <c r="E328" s="9" t="s">
        <v>721</v>
      </c>
      <c r="F328" s="7" t="s">
        <v>65</v>
      </c>
      <c r="G328" s="7" t="s">
        <v>253</v>
      </c>
      <c r="H328" s="22" t="s">
        <v>73</v>
      </c>
      <c r="I328" s="9" t="s">
        <v>704</v>
      </c>
      <c r="J328" s="19" t="s">
        <v>129</v>
      </c>
      <c r="K328" s="20"/>
    </row>
    <row r="329" spans="1:11" ht="15.75" customHeight="1" x14ac:dyDescent="0.25">
      <c r="A329" s="7">
        <v>22</v>
      </c>
      <c r="B329" s="7" t="s">
        <v>190</v>
      </c>
      <c r="C329" s="7">
        <v>8</v>
      </c>
      <c r="D329" s="21" t="s">
        <v>154</v>
      </c>
      <c r="E329" s="9" t="s">
        <v>722</v>
      </c>
      <c r="F329" s="7" t="s">
        <v>65</v>
      </c>
      <c r="G329" s="7" t="s">
        <v>253</v>
      </c>
      <c r="H329" s="22" t="s">
        <v>73</v>
      </c>
      <c r="I329" s="9" t="s">
        <v>723</v>
      </c>
      <c r="J329" s="19" t="s">
        <v>129</v>
      </c>
      <c r="K329" s="20"/>
    </row>
    <row r="330" spans="1:11" ht="15.75" customHeight="1" x14ac:dyDescent="0.25">
      <c r="A330" s="7">
        <v>22</v>
      </c>
      <c r="B330" s="7" t="s">
        <v>190</v>
      </c>
      <c r="C330" s="7">
        <v>9</v>
      </c>
      <c r="D330" s="21" t="s">
        <v>154</v>
      </c>
      <c r="E330" s="9" t="s">
        <v>724</v>
      </c>
      <c r="F330" s="7" t="s">
        <v>212</v>
      </c>
      <c r="G330" s="7" t="s">
        <v>264</v>
      </c>
      <c r="H330" s="22" t="s">
        <v>73</v>
      </c>
      <c r="I330" s="9" t="s">
        <v>158</v>
      </c>
      <c r="J330" s="19" t="s">
        <v>129</v>
      </c>
      <c r="K330" s="20"/>
    </row>
    <row r="331" spans="1:11" ht="15.75" customHeight="1" x14ac:dyDescent="0.25">
      <c r="A331" s="7">
        <v>22</v>
      </c>
      <c r="B331" s="7" t="s">
        <v>190</v>
      </c>
      <c r="C331" s="7">
        <v>10</v>
      </c>
      <c r="D331" s="21" t="s">
        <v>154</v>
      </c>
      <c r="E331" s="9" t="s">
        <v>725</v>
      </c>
      <c r="F331" s="7" t="s">
        <v>212</v>
      </c>
      <c r="G331" s="7" t="s">
        <v>264</v>
      </c>
      <c r="H331" s="22" t="s">
        <v>73</v>
      </c>
      <c r="I331" s="9" t="s">
        <v>158</v>
      </c>
      <c r="J331" s="19" t="s">
        <v>129</v>
      </c>
      <c r="K331" s="20"/>
    </row>
    <row r="332" spans="1:11" ht="15.75" customHeight="1" x14ac:dyDescent="0.25">
      <c r="A332" s="11">
        <v>23</v>
      </c>
      <c r="B332" s="11" t="s">
        <v>56</v>
      </c>
      <c r="C332" s="11">
        <v>1</v>
      </c>
      <c r="D332" s="12" t="s">
        <v>159</v>
      </c>
      <c r="E332" s="14" t="s">
        <v>726</v>
      </c>
      <c r="F332" s="11" t="s">
        <v>65</v>
      </c>
      <c r="G332" s="11" t="s">
        <v>244</v>
      </c>
      <c r="H332" s="18" t="s">
        <v>73</v>
      </c>
      <c r="I332" s="14" t="s">
        <v>727</v>
      </c>
      <c r="J332" s="19" t="s">
        <v>129</v>
      </c>
      <c r="K332" s="20"/>
    </row>
    <row r="333" spans="1:11" ht="15.75" customHeight="1" x14ac:dyDescent="0.25">
      <c r="A333" s="11">
        <v>23</v>
      </c>
      <c r="B333" s="11" t="s">
        <v>56</v>
      </c>
      <c r="C333" s="11">
        <v>2</v>
      </c>
      <c r="D333" s="12" t="s">
        <v>159</v>
      </c>
      <c r="E333" s="14" t="s">
        <v>728</v>
      </c>
      <c r="F333" s="11" t="s">
        <v>212</v>
      </c>
      <c r="G333" s="11" t="s">
        <v>226</v>
      </c>
      <c r="H333" s="18" t="s">
        <v>73</v>
      </c>
      <c r="I333" s="14" t="s">
        <v>162</v>
      </c>
      <c r="J333" s="19" t="s">
        <v>129</v>
      </c>
      <c r="K333" s="20"/>
    </row>
    <row r="334" spans="1:11" ht="15.75" customHeight="1" x14ac:dyDescent="0.25">
      <c r="A334" s="11">
        <v>23</v>
      </c>
      <c r="B334" s="11" t="s">
        <v>56</v>
      </c>
      <c r="C334" s="11">
        <v>3</v>
      </c>
      <c r="D334" s="12" t="s">
        <v>159</v>
      </c>
      <c r="E334" s="14" t="s">
        <v>729</v>
      </c>
      <c r="F334" s="11" t="s">
        <v>212</v>
      </c>
      <c r="G334" s="11" t="s">
        <v>226</v>
      </c>
      <c r="H334" s="18" t="s">
        <v>73</v>
      </c>
      <c r="I334" s="14" t="s">
        <v>162</v>
      </c>
      <c r="J334" s="19" t="s">
        <v>129</v>
      </c>
      <c r="K334" s="20"/>
    </row>
    <row r="335" spans="1:11" ht="15.75" customHeight="1" x14ac:dyDescent="0.25">
      <c r="A335" s="11">
        <v>23</v>
      </c>
      <c r="B335" s="11" t="s">
        <v>56</v>
      </c>
      <c r="C335" s="11">
        <v>4</v>
      </c>
      <c r="D335" s="12" t="s">
        <v>159</v>
      </c>
      <c r="E335" s="14" t="s">
        <v>730</v>
      </c>
      <c r="F335" s="11" t="s">
        <v>65</v>
      </c>
      <c r="G335" s="11" t="s">
        <v>253</v>
      </c>
      <c r="H335" s="18" t="s">
        <v>73</v>
      </c>
      <c r="I335" s="14" t="s">
        <v>731</v>
      </c>
      <c r="J335" s="19" t="s">
        <v>129</v>
      </c>
      <c r="K335" s="20"/>
    </row>
    <row r="336" spans="1:11" ht="15.75" customHeight="1" x14ac:dyDescent="0.25">
      <c r="A336" s="11">
        <v>23</v>
      </c>
      <c r="B336" s="11" t="s">
        <v>56</v>
      </c>
      <c r="C336" s="11">
        <v>5</v>
      </c>
      <c r="D336" s="12" t="s">
        <v>159</v>
      </c>
      <c r="E336" s="14" t="s">
        <v>732</v>
      </c>
      <c r="F336" s="11" t="s">
        <v>65</v>
      </c>
      <c r="G336" s="11" t="s">
        <v>253</v>
      </c>
      <c r="H336" s="18" t="s">
        <v>73</v>
      </c>
      <c r="I336" s="14" t="s">
        <v>733</v>
      </c>
      <c r="J336" s="19" t="s">
        <v>129</v>
      </c>
      <c r="K336" s="20"/>
    </row>
    <row r="337" spans="1:11" ht="15.75" customHeight="1" x14ac:dyDescent="0.25">
      <c r="A337" s="7">
        <v>23</v>
      </c>
      <c r="B337" s="7" t="s">
        <v>190</v>
      </c>
      <c r="C337" s="7">
        <v>1</v>
      </c>
      <c r="D337" s="21" t="s">
        <v>159</v>
      </c>
      <c r="E337" s="9" t="s">
        <v>734</v>
      </c>
      <c r="F337" s="7" t="s">
        <v>65</v>
      </c>
      <c r="G337" s="7" t="s">
        <v>253</v>
      </c>
      <c r="H337" s="22" t="s">
        <v>73</v>
      </c>
      <c r="I337" s="9" t="s">
        <v>735</v>
      </c>
      <c r="J337" s="19" t="s">
        <v>129</v>
      </c>
      <c r="K337" s="20"/>
    </row>
    <row r="338" spans="1:11" ht="15.75" customHeight="1" x14ac:dyDescent="0.25">
      <c r="A338" s="7">
        <v>23</v>
      </c>
      <c r="B338" s="7" t="s">
        <v>190</v>
      </c>
      <c r="C338" s="7">
        <v>2</v>
      </c>
      <c r="D338" s="21" t="s">
        <v>159</v>
      </c>
      <c r="E338" s="9" t="s">
        <v>736</v>
      </c>
      <c r="F338" s="7" t="s">
        <v>65</v>
      </c>
      <c r="G338" s="7" t="s">
        <v>258</v>
      </c>
      <c r="H338" s="22" t="s">
        <v>73</v>
      </c>
      <c r="I338" s="9" t="s">
        <v>737</v>
      </c>
      <c r="J338" s="19" t="s">
        <v>129</v>
      </c>
      <c r="K338" s="20"/>
    </row>
    <row r="339" spans="1:11" ht="15.75" customHeight="1" x14ac:dyDescent="0.25">
      <c r="A339" s="7">
        <v>23</v>
      </c>
      <c r="B339" s="7" t="s">
        <v>190</v>
      </c>
      <c r="C339" s="7">
        <v>3</v>
      </c>
      <c r="D339" s="21" t="s">
        <v>159</v>
      </c>
      <c r="E339" s="9" t="s">
        <v>738</v>
      </c>
      <c r="F339" s="7" t="s">
        <v>65</v>
      </c>
      <c r="G339" s="7" t="s">
        <v>258</v>
      </c>
      <c r="H339" s="22" t="s">
        <v>73</v>
      </c>
      <c r="I339" s="9" t="s">
        <v>739</v>
      </c>
      <c r="J339" s="19" t="s">
        <v>129</v>
      </c>
      <c r="K339" s="20"/>
    </row>
    <row r="340" spans="1:11" ht="15.75" customHeight="1" x14ac:dyDescent="0.25">
      <c r="A340" s="7">
        <v>23</v>
      </c>
      <c r="B340" s="7" t="s">
        <v>190</v>
      </c>
      <c r="C340" s="7">
        <v>4</v>
      </c>
      <c r="D340" s="21" t="s">
        <v>159</v>
      </c>
      <c r="E340" s="9" t="s">
        <v>740</v>
      </c>
      <c r="F340" s="7" t="s">
        <v>65</v>
      </c>
      <c r="G340" s="7" t="s">
        <v>258</v>
      </c>
      <c r="H340" s="22" t="s">
        <v>73</v>
      </c>
      <c r="I340" s="9" t="s">
        <v>741</v>
      </c>
      <c r="J340" s="19" t="s">
        <v>129</v>
      </c>
      <c r="K340" s="20"/>
    </row>
    <row r="341" spans="1:11" ht="15.75" customHeight="1" x14ac:dyDescent="0.25">
      <c r="A341" s="7">
        <v>23</v>
      </c>
      <c r="B341" s="7" t="s">
        <v>190</v>
      </c>
      <c r="C341" s="7">
        <v>5</v>
      </c>
      <c r="D341" s="21" t="s">
        <v>159</v>
      </c>
      <c r="E341" s="9" t="s">
        <v>742</v>
      </c>
      <c r="F341" s="7" t="s">
        <v>65</v>
      </c>
      <c r="G341" s="7" t="s">
        <v>258</v>
      </c>
      <c r="H341" s="22" t="s">
        <v>73</v>
      </c>
      <c r="I341" s="9" t="s">
        <v>743</v>
      </c>
      <c r="J341" s="19" t="s">
        <v>129</v>
      </c>
      <c r="K341" s="20"/>
    </row>
    <row r="342" spans="1:11" ht="15.75" customHeight="1" x14ac:dyDescent="0.25">
      <c r="A342" s="7">
        <v>23</v>
      </c>
      <c r="B342" s="7" t="s">
        <v>190</v>
      </c>
      <c r="C342" s="7">
        <v>6</v>
      </c>
      <c r="D342" s="21" t="s">
        <v>159</v>
      </c>
      <c r="E342" s="9" t="s">
        <v>744</v>
      </c>
      <c r="F342" s="7" t="s">
        <v>65</v>
      </c>
      <c r="G342" s="7" t="s">
        <v>258</v>
      </c>
      <c r="H342" s="22" t="s">
        <v>73</v>
      </c>
      <c r="I342" s="9" t="s">
        <v>745</v>
      </c>
      <c r="J342" s="19" t="s">
        <v>129</v>
      </c>
      <c r="K342" s="20"/>
    </row>
    <row r="343" spans="1:11" ht="15.75" customHeight="1" x14ac:dyDescent="0.25">
      <c r="A343" s="7">
        <v>23</v>
      </c>
      <c r="B343" s="7" t="s">
        <v>190</v>
      </c>
      <c r="C343" s="7">
        <v>7</v>
      </c>
      <c r="D343" s="21" t="s">
        <v>159</v>
      </c>
      <c r="E343" s="9" t="s">
        <v>746</v>
      </c>
      <c r="F343" s="7" t="s">
        <v>65</v>
      </c>
      <c r="G343" s="7" t="s">
        <v>258</v>
      </c>
      <c r="H343" s="22" t="s">
        <v>73</v>
      </c>
      <c r="I343" s="9" t="s">
        <v>747</v>
      </c>
      <c r="J343" s="19" t="s">
        <v>129</v>
      </c>
      <c r="K343" s="20"/>
    </row>
    <row r="344" spans="1:11" ht="15.75" customHeight="1" x14ac:dyDescent="0.25">
      <c r="A344" s="7">
        <v>23</v>
      </c>
      <c r="B344" s="7" t="s">
        <v>190</v>
      </c>
      <c r="C344" s="7">
        <v>8</v>
      </c>
      <c r="D344" s="21" t="s">
        <v>159</v>
      </c>
      <c r="E344" s="9" t="s">
        <v>748</v>
      </c>
      <c r="F344" s="7" t="s">
        <v>65</v>
      </c>
      <c r="G344" s="7" t="s">
        <v>258</v>
      </c>
      <c r="H344" s="22" t="s">
        <v>73</v>
      </c>
      <c r="I344" s="9" t="s">
        <v>749</v>
      </c>
      <c r="J344" s="19" t="s">
        <v>129</v>
      </c>
      <c r="K344" s="20"/>
    </row>
    <row r="345" spans="1:11" ht="15.75" customHeight="1" x14ac:dyDescent="0.25">
      <c r="A345" s="7">
        <v>23</v>
      </c>
      <c r="B345" s="7" t="s">
        <v>190</v>
      </c>
      <c r="C345" s="7">
        <v>9</v>
      </c>
      <c r="D345" s="21" t="s">
        <v>159</v>
      </c>
      <c r="E345" s="9" t="s">
        <v>750</v>
      </c>
      <c r="F345" s="7" t="s">
        <v>65</v>
      </c>
      <c r="G345" s="7" t="s">
        <v>258</v>
      </c>
      <c r="H345" s="22" t="s">
        <v>73</v>
      </c>
      <c r="I345" s="9" t="s">
        <v>751</v>
      </c>
      <c r="J345" s="19" t="s">
        <v>129</v>
      </c>
      <c r="K345" s="20"/>
    </row>
    <row r="346" spans="1:11" ht="15.75" customHeight="1" x14ac:dyDescent="0.25">
      <c r="A346" s="7">
        <v>23</v>
      </c>
      <c r="B346" s="7" t="s">
        <v>190</v>
      </c>
      <c r="C346" s="7">
        <v>10</v>
      </c>
      <c r="D346" s="21" t="s">
        <v>159</v>
      </c>
      <c r="E346" s="9" t="s">
        <v>752</v>
      </c>
      <c r="F346" s="7" t="s">
        <v>65</v>
      </c>
      <c r="G346" s="7" t="s">
        <v>258</v>
      </c>
      <c r="H346" s="22" t="s">
        <v>73</v>
      </c>
      <c r="I346" s="9" t="s">
        <v>753</v>
      </c>
      <c r="J346" s="19" t="s">
        <v>129</v>
      </c>
      <c r="K346" s="20"/>
    </row>
    <row r="347" spans="1:11" ht="15.75" customHeight="1" x14ac:dyDescent="0.25">
      <c r="A347" s="11">
        <v>24</v>
      </c>
      <c r="B347" s="11" t="s">
        <v>56</v>
      </c>
      <c r="C347" s="11">
        <v>1</v>
      </c>
      <c r="D347" s="12" t="s">
        <v>163</v>
      </c>
      <c r="E347" s="14" t="s">
        <v>754</v>
      </c>
      <c r="F347" s="11" t="s">
        <v>212</v>
      </c>
      <c r="G347" s="11" t="s">
        <v>213</v>
      </c>
      <c r="H347" s="18" t="s">
        <v>73</v>
      </c>
      <c r="I347" s="14" t="s">
        <v>166</v>
      </c>
      <c r="J347" s="19" t="s">
        <v>129</v>
      </c>
      <c r="K347" s="20"/>
    </row>
    <row r="348" spans="1:11" ht="15.75" customHeight="1" x14ac:dyDescent="0.25">
      <c r="A348" s="11">
        <v>24</v>
      </c>
      <c r="B348" s="11" t="s">
        <v>56</v>
      </c>
      <c r="C348" s="11">
        <v>2</v>
      </c>
      <c r="D348" s="12" t="s">
        <v>163</v>
      </c>
      <c r="E348" s="14" t="s">
        <v>755</v>
      </c>
      <c r="F348" s="11" t="s">
        <v>212</v>
      </c>
      <c r="G348" s="11" t="s">
        <v>213</v>
      </c>
      <c r="H348" s="18" t="s">
        <v>73</v>
      </c>
      <c r="I348" s="14" t="s">
        <v>166</v>
      </c>
      <c r="J348" s="19" t="s">
        <v>129</v>
      </c>
      <c r="K348" s="20"/>
    </row>
    <row r="349" spans="1:11" ht="15.75" customHeight="1" x14ac:dyDescent="0.25">
      <c r="A349" s="11">
        <v>24</v>
      </c>
      <c r="B349" s="11" t="s">
        <v>56</v>
      </c>
      <c r="C349" s="11">
        <v>3</v>
      </c>
      <c r="D349" s="12" t="s">
        <v>163</v>
      </c>
      <c r="E349" s="14" t="s">
        <v>756</v>
      </c>
      <c r="F349" s="11" t="s">
        <v>65</v>
      </c>
      <c r="G349" s="11" t="s">
        <v>258</v>
      </c>
      <c r="H349" s="18" t="s">
        <v>73</v>
      </c>
      <c r="I349" s="14" t="s">
        <v>757</v>
      </c>
      <c r="J349" s="19" t="s">
        <v>129</v>
      </c>
      <c r="K349" s="20"/>
    </row>
    <row r="350" spans="1:11" ht="15.75" customHeight="1" x14ac:dyDescent="0.25">
      <c r="A350" s="11">
        <v>24</v>
      </c>
      <c r="B350" s="11" t="s">
        <v>56</v>
      </c>
      <c r="C350" s="11">
        <v>4</v>
      </c>
      <c r="D350" s="12" t="s">
        <v>163</v>
      </c>
      <c r="E350" s="14" t="s">
        <v>758</v>
      </c>
      <c r="F350" s="11" t="s">
        <v>65</v>
      </c>
      <c r="G350" s="11" t="s">
        <v>258</v>
      </c>
      <c r="H350" s="18" t="s">
        <v>73</v>
      </c>
      <c r="I350" s="14" t="s">
        <v>759</v>
      </c>
      <c r="J350" s="19" t="s">
        <v>129</v>
      </c>
      <c r="K350" s="20"/>
    </row>
    <row r="351" spans="1:11" ht="15.75" customHeight="1" x14ac:dyDescent="0.25">
      <c r="A351" s="11">
        <v>24</v>
      </c>
      <c r="B351" s="11" t="s">
        <v>56</v>
      </c>
      <c r="C351" s="11">
        <v>5</v>
      </c>
      <c r="D351" s="12" t="s">
        <v>163</v>
      </c>
      <c r="E351" s="14" t="s">
        <v>760</v>
      </c>
      <c r="F351" s="11" t="s">
        <v>65</v>
      </c>
      <c r="G351" s="11" t="s">
        <v>258</v>
      </c>
      <c r="H351" s="18" t="s">
        <v>73</v>
      </c>
      <c r="I351" s="14" t="s">
        <v>761</v>
      </c>
      <c r="J351" s="19" t="s">
        <v>129</v>
      </c>
      <c r="K351" s="20"/>
    </row>
    <row r="352" spans="1:11" ht="15.75" customHeight="1" x14ac:dyDescent="0.25">
      <c r="A352" s="7">
        <v>24</v>
      </c>
      <c r="B352" s="7" t="s">
        <v>190</v>
      </c>
      <c r="C352" s="7">
        <v>1</v>
      </c>
      <c r="D352" s="21" t="s">
        <v>163</v>
      </c>
      <c r="E352" s="9" t="s">
        <v>762</v>
      </c>
      <c r="F352" s="7" t="s">
        <v>65</v>
      </c>
      <c r="G352" s="7" t="s">
        <v>261</v>
      </c>
      <c r="H352" s="22" t="s">
        <v>73</v>
      </c>
      <c r="I352" s="9" t="s">
        <v>763</v>
      </c>
      <c r="J352" s="19" t="s">
        <v>129</v>
      </c>
      <c r="K352" s="20"/>
    </row>
    <row r="353" spans="1:11" ht="15.75" customHeight="1" x14ac:dyDescent="0.25">
      <c r="A353" s="7">
        <v>24</v>
      </c>
      <c r="B353" s="7" t="s">
        <v>190</v>
      </c>
      <c r="C353" s="7">
        <v>2</v>
      </c>
      <c r="D353" s="21" t="s">
        <v>163</v>
      </c>
      <c r="E353" s="9" t="s">
        <v>764</v>
      </c>
      <c r="F353" s="7" t="s">
        <v>65</v>
      </c>
      <c r="G353" s="7" t="s">
        <v>261</v>
      </c>
      <c r="H353" s="22" t="s">
        <v>73</v>
      </c>
      <c r="I353" s="9" t="s">
        <v>765</v>
      </c>
      <c r="J353" s="19" t="s">
        <v>129</v>
      </c>
      <c r="K353" s="20"/>
    </row>
    <row r="354" spans="1:11" ht="15.75" customHeight="1" x14ac:dyDescent="0.25">
      <c r="A354" s="7">
        <v>24</v>
      </c>
      <c r="B354" s="7" t="s">
        <v>190</v>
      </c>
      <c r="C354" s="7">
        <v>3</v>
      </c>
      <c r="D354" s="21" t="s">
        <v>163</v>
      </c>
      <c r="E354" s="9" t="s">
        <v>766</v>
      </c>
      <c r="F354" s="7" t="s">
        <v>65</v>
      </c>
      <c r="G354" s="7" t="s">
        <v>261</v>
      </c>
      <c r="H354" s="22" t="s">
        <v>73</v>
      </c>
      <c r="I354" s="9" t="s">
        <v>767</v>
      </c>
      <c r="J354" s="19" t="s">
        <v>129</v>
      </c>
      <c r="K354" s="20"/>
    </row>
    <row r="355" spans="1:11" ht="15.75" customHeight="1" x14ac:dyDescent="0.25">
      <c r="A355" s="7">
        <v>24</v>
      </c>
      <c r="B355" s="7" t="s">
        <v>190</v>
      </c>
      <c r="C355" s="7">
        <v>4</v>
      </c>
      <c r="D355" s="21" t="s">
        <v>163</v>
      </c>
      <c r="E355" s="9" t="s">
        <v>768</v>
      </c>
      <c r="F355" s="7" t="s">
        <v>65</v>
      </c>
      <c r="G355" s="7" t="s">
        <v>261</v>
      </c>
      <c r="H355" s="22" t="s">
        <v>73</v>
      </c>
      <c r="I355" s="9" t="s">
        <v>767</v>
      </c>
      <c r="J355" s="19" t="s">
        <v>129</v>
      </c>
      <c r="K355" s="20"/>
    </row>
    <row r="356" spans="1:11" ht="15.75" customHeight="1" x14ac:dyDescent="0.25">
      <c r="A356" s="7">
        <v>24</v>
      </c>
      <c r="B356" s="7" t="s">
        <v>190</v>
      </c>
      <c r="C356" s="7">
        <v>5</v>
      </c>
      <c r="D356" s="21" t="s">
        <v>163</v>
      </c>
      <c r="E356" s="9" t="s">
        <v>769</v>
      </c>
      <c r="F356" s="7" t="s">
        <v>65</v>
      </c>
      <c r="G356" s="7" t="s">
        <v>261</v>
      </c>
      <c r="H356" s="22" t="s">
        <v>73</v>
      </c>
      <c r="I356" s="9" t="s">
        <v>770</v>
      </c>
      <c r="J356" s="19" t="s">
        <v>129</v>
      </c>
      <c r="K356" s="20"/>
    </row>
    <row r="357" spans="1:11" ht="15.75" customHeight="1" x14ac:dyDescent="0.25">
      <c r="A357" s="7">
        <v>24</v>
      </c>
      <c r="B357" s="7" t="s">
        <v>190</v>
      </c>
      <c r="C357" s="7">
        <v>6</v>
      </c>
      <c r="D357" s="21" t="s">
        <v>163</v>
      </c>
      <c r="E357" s="9" t="s">
        <v>771</v>
      </c>
      <c r="F357" s="7" t="s">
        <v>65</v>
      </c>
      <c r="G357" s="7" t="s">
        <v>261</v>
      </c>
      <c r="H357" s="22" t="s">
        <v>73</v>
      </c>
      <c r="I357" s="9" t="s">
        <v>765</v>
      </c>
      <c r="J357" s="19" t="s">
        <v>129</v>
      </c>
      <c r="K357" s="20"/>
    </row>
    <row r="358" spans="1:11" ht="15.75" customHeight="1" x14ac:dyDescent="0.25">
      <c r="A358" s="7">
        <v>24</v>
      </c>
      <c r="B358" s="7" t="s">
        <v>190</v>
      </c>
      <c r="C358" s="7">
        <v>7</v>
      </c>
      <c r="D358" s="21" t="s">
        <v>163</v>
      </c>
      <c r="E358" s="9" t="s">
        <v>772</v>
      </c>
      <c r="F358" s="7" t="s">
        <v>65</v>
      </c>
      <c r="G358" s="7" t="s">
        <v>261</v>
      </c>
      <c r="H358" s="22" t="s">
        <v>73</v>
      </c>
      <c r="I358" s="9" t="s">
        <v>767</v>
      </c>
      <c r="J358" s="19" t="s">
        <v>129</v>
      </c>
      <c r="K358" s="20"/>
    </row>
    <row r="359" spans="1:11" ht="15.75" customHeight="1" x14ac:dyDescent="0.25">
      <c r="A359" s="7">
        <v>24</v>
      </c>
      <c r="B359" s="7" t="s">
        <v>190</v>
      </c>
      <c r="C359" s="7">
        <v>8</v>
      </c>
      <c r="D359" s="21" t="s">
        <v>163</v>
      </c>
      <c r="E359" s="9" t="s">
        <v>773</v>
      </c>
      <c r="F359" s="7" t="s">
        <v>65</v>
      </c>
      <c r="G359" s="7" t="s">
        <v>261</v>
      </c>
      <c r="H359" s="22" t="s">
        <v>73</v>
      </c>
      <c r="I359" s="9" t="s">
        <v>774</v>
      </c>
      <c r="J359" s="19" t="s">
        <v>129</v>
      </c>
      <c r="K359" s="20"/>
    </row>
    <row r="360" spans="1:11" ht="15.75" customHeight="1" x14ac:dyDescent="0.25">
      <c r="A360" s="7">
        <v>24</v>
      </c>
      <c r="B360" s="7" t="s">
        <v>190</v>
      </c>
      <c r="C360" s="7">
        <v>9</v>
      </c>
      <c r="D360" s="21" t="s">
        <v>163</v>
      </c>
      <c r="E360" s="9" t="s">
        <v>775</v>
      </c>
      <c r="F360" s="7" t="s">
        <v>212</v>
      </c>
      <c r="G360" s="7" t="s">
        <v>264</v>
      </c>
      <c r="H360" s="22" t="s">
        <v>73</v>
      </c>
      <c r="I360" s="9" t="s">
        <v>166</v>
      </c>
      <c r="J360" s="19" t="s">
        <v>129</v>
      </c>
      <c r="K360" s="20"/>
    </row>
    <row r="361" spans="1:11" ht="15.75" customHeight="1" x14ac:dyDescent="0.25">
      <c r="A361" s="7">
        <v>24</v>
      </c>
      <c r="B361" s="7" t="s">
        <v>190</v>
      </c>
      <c r="C361" s="7">
        <v>10</v>
      </c>
      <c r="D361" s="21" t="s">
        <v>163</v>
      </c>
      <c r="E361" s="9" t="s">
        <v>776</v>
      </c>
      <c r="F361" s="7" t="s">
        <v>212</v>
      </c>
      <c r="G361" s="7" t="s">
        <v>264</v>
      </c>
      <c r="H361" s="22" t="s">
        <v>73</v>
      </c>
      <c r="I361" s="9" t="s">
        <v>166</v>
      </c>
      <c r="J361" s="19" t="s">
        <v>129</v>
      </c>
      <c r="K361" s="20"/>
    </row>
    <row r="362" spans="1:11" ht="15.75" customHeight="1" x14ac:dyDescent="0.25">
      <c r="A362" s="11">
        <v>25</v>
      </c>
      <c r="B362" s="11" t="s">
        <v>56</v>
      </c>
      <c r="C362" s="11">
        <v>1</v>
      </c>
      <c r="D362" s="12" t="s">
        <v>168</v>
      </c>
      <c r="E362" s="14" t="s">
        <v>777</v>
      </c>
      <c r="F362" s="11" t="s">
        <v>212</v>
      </c>
      <c r="G362" s="11" t="s">
        <v>213</v>
      </c>
      <c r="H362" s="18" t="s">
        <v>73</v>
      </c>
      <c r="I362" s="14" t="s">
        <v>171</v>
      </c>
      <c r="J362" s="19" t="s">
        <v>129</v>
      </c>
      <c r="K362" s="20"/>
    </row>
    <row r="363" spans="1:11" ht="15.75" customHeight="1" x14ac:dyDescent="0.25">
      <c r="A363" s="11">
        <v>25</v>
      </c>
      <c r="B363" s="11" t="s">
        <v>56</v>
      </c>
      <c r="C363" s="11">
        <v>2</v>
      </c>
      <c r="D363" s="12" t="s">
        <v>168</v>
      </c>
      <c r="E363" s="14" t="s">
        <v>778</v>
      </c>
      <c r="F363" s="11" t="s">
        <v>212</v>
      </c>
      <c r="G363" s="11" t="s">
        <v>213</v>
      </c>
      <c r="H363" s="18" t="s">
        <v>73</v>
      </c>
      <c r="I363" s="14" t="s">
        <v>171</v>
      </c>
      <c r="J363" s="19" t="s">
        <v>129</v>
      </c>
      <c r="K363" s="20"/>
    </row>
    <row r="364" spans="1:11" ht="15.75" customHeight="1" x14ac:dyDescent="0.25">
      <c r="A364" s="11">
        <v>25</v>
      </c>
      <c r="B364" s="11" t="s">
        <v>56</v>
      </c>
      <c r="C364" s="11">
        <v>3</v>
      </c>
      <c r="D364" s="12" t="s">
        <v>168</v>
      </c>
      <c r="E364" s="14" t="s">
        <v>779</v>
      </c>
      <c r="F364" s="11" t="s">
        <v>212</v>
      </c>
      <c r="G364" s="11" t="s">
        <v>213</v>
      </c>
      <c r="H364" s="18" t="s">
        <v>73</v>
      </c>
      <c r="I364" s="14" t="s">
        <v>171</v>
      </c>
      <c r="J364" s="19" t="s">
        <v>129</v>
      </c>
      <c r="K364" s="20"/>
    </row>
    <row r="365" spans="1:11" ht="15.75" customHeight="1" x14ac:dyDescent="0.25">
      <c r="A365" s="11">
        <v>25</v>
      </c>
      <c r="B365" s="11" t="s">
        <v>56</v>
      </c>
      <c r="C365" s="11">
        <v>4</v>
      </c>
      <c r="D365" s="12" t="s">
        <v>168</v>
      </c>
      <c r="E365" s="14" t="s">
        <v>780</v>
      </c>
      <c r="F365" s="11" t="s">
        <v>212</v>
      </c>
      <c r="G365" s="11" t="s">
        <v>213</v>
      </c>
      <c r="H365" s="18" t="s">
        <v>73</v>
      </c>
      <c r="I365" s="14" t="s">
        <v>171</v>
      </c>
      <c r="J365" s="19" t="s">
        <v>129</v>
      </c>
      <c r="K365" s="20"/>
    </row>
    <row r="366" spans="1:11" ht="15.75" customHeight="1" x14ac:dyDescent="0.25">
      <c r="A366" s="11">
        <v>25</v>
      </c>
      <c r="B366" s="11" t="s">
        <v>56</v>
      </c>
      <c r="C366" s="11">
        <v>5</v>
      </c>
      <c r="D366" s="12" t="s">
        <v>168</v>
      </c>
      <c r="E366" s="14" t="s">
        <v>781</v>
      </c>
      <c r="F366" s="11" t="s">
        <v>212</v>
      </c>
      <c r="G366" s="11" t="s">
        <v>213</v>
      </c>
      <c r="H366" s="18" t="s">
        <v>73</v>
      </c>
      <c r="I366" s="14" t="s">
        <v>171</v>
      </c>
      <c r="J366" s="19" t="s">
        <v>129</v>
      </c>
      <c r="K366" s="20"/>
    </row>
    <row r="367" spans="1:11" ht="15.75" customHeight="1" x14ac:dyDescent="0.25">
      <c r="A367" s="7">
        <v>25</v>
      </c>
      <c r="B367" s="7" t="s">
        <v>190</v>
      </c>
      <c r="C367" s="7">
        <v>1</v>
      </c>
      <c r="D367" s="21" t="s">
        <v>168</v>
      </c>
      <c r="E367" s="9" t="s">
        <v>782</v>
      </c>
      <c r="F367" s="7" t="s">
        <v>212</v>
      </c>
      <c r="G367" s="7" t="s">
        <v>213</v>
      </c>
      <c r="H367" s="22" t="s">
        <v>73</v>
      </c>
      <c r="I367" s="9" t="s">
        <v>171</v>
      </c>
      <c r="J367" s="19" t="s">
        <v>129</v>
      </c>
      <c r="K367" s="20"/>
    </row>
    <row r="368" spans="1:11" ht="15.75" customHeight="1" x14ac:dyDescent="0.25">
      <c r="A368" s="7">
        <v>25</v>
      </c>
      <c r="B368" s="7" t="s">
        <v>190</v>
      </c>
      <c r="C368" s="7">
        <v>2</v>
      </c>
      <c r="D368" s="21" t="s">
        <v>168</v>
      </c>
      <c r="E368" s="9" t="s">
        <v>783</v>
      </c>
      <c r="F368" s="7" t="s">
        <v>65</v>
      </c>
      <c r="G368" s="7" t="s">
        <v>244</v>
      </c>
      <c r="H368" s="22" t="s">
        <v>73</v>
      </c>
      <c r="I368" s="9" t="s">
        <v>784</v>
      </c>
      <c r="J368" s="19" t="s">
        <v>129</v>
      </c>
      <c r="K368" s="20"/>
    </row>
    <row r="369" spans="1:11" ht="15.75" customHeight="1" x14ac:dyDescent="0.25">
      <c r="A369" s="7">
        <v>25</v>
      </c>
      <c r="B369" s="7" t="s">
        <v>190</v>
      </c>
      <c r="C369" s="7">
        <v>3</v>
      </c>
      <c r="D369" s="21" t="s">
        <v>168</v>
      </c>
      <c r="E369" s="9" t="s">
        <v>785</v>
      </c>
      <c r="F369" s="7" t="s">
        <v>212</v>
      </c>
      <c r="G369" s="7" t="s">
        <v>226</v>
      </c>
      <c r="H369" s="22" t="s">
        <v>73</v>
      </c>
      <c r="I369" s="9" t="s">
        <v>171</v>
      </c>
      <c r="J369" s="19" t="s">
        <v>129</v>
      </c>
      <c r="K369" s="20"/>
    </row>
    <row r="370" spans="1:11" ht="15.75" customHeight="1" x14ac:dyDescent="0.25">
      <c r="A370" s="7">
        <v>25</v>
      </c>
      <c r="B370" s="7" t="s">
        <v>190</v>
      </c>
      <c r="C370" s="7">
        <v>4</v>
      </c>
      <c r="D370" s="21" t="s">
        <v>168</v>
      </c>
      <c r="E370" s="9" t="s">
        <v>786</v>
      </c>
      <c r="F370" s="7" t="s">
        <v>65</v>
      </c>
      <c r="G370" s="7" t="s">
        <v>253</v>
      </c>
      <c r="H370" s="22" t="s">
        <v>73</v>
      </c>
      <c r="I370" s="9" t="s">
        <v>787</v>
      </c>
      <c r="J370" s="19" t="s">
        <v>129</v>
      </c>
      <c r="K370" s="20"/>
    </row>
    <row r="371" spans="1:11" ht="15.75" customHeight="1" x14ac:dyDescent="0.25">
      <c r="A371" s="7">
        <v>25</v>
      </c>
      <c r="B371" s="7" t="s">
        <v>190</v>
      </c>
      <c r="C371" s="7">
        <v>5</v>
      </c>
      <c r="D371" s="21" t="s">
        <v>168</v>
      </c>
      <c r="E371" s="9" t="s">
        <v>788</v>
      </c>
      <c r="F371" s="7" t="s">
        <v>65</v>
      </c>
      <c r="G371" s="7" t="s">
        <v>253</v>
      </c>
      <c r="H371" s="22" t="s">
        <v>73</v>
      </c>
      <c r="I371" s="9" t="s">
        <v>789</v>
      </c>
      <c r="J371" s="19" t="s">
        <v>129</v>
      </c>
      <c r="K371" s="20"/>
    </row>
    <row r="372" spans="1:11" ht="15.75" customHeight="1" x14ac:dyDescent="0.25">
      <c r="A372" s="7">
        <v>25</v>
      </c>
      <c r="B372" s="7" t="s">
        <v>190</v>
      </c>
      <c r="C372" s="7">
        <v>6</v>
      </c>
      <c r="D372" s="21" t="s">
        <v>168</v>
      </c>
      <c r="E372" s="9" t="s">
        <v>790</v>
      </c>
      <c r="F372" s="7" t="s">
        <v>65</v>
      </c>
      <c r="G372" s="7" t="s">
        <v>253</v>
      </c>
      <c r="H372" s="22" t="s">
        <v>73</v>
      </c>
      <c r="I372" s="9" t="s">
        <v>791</v>
      </c>
      <c r="J372" s="19" t="s">
        <v>129</v>
      </c>
      <c r="K372" s="20"/>
    </row>
    <row r="373" spans="1:11" ht="15.75" customHeight="1" x14ac:dyDescent="0.25">
      <c r="A373" s="7">
        <v>25</v>
      </c>
      <c r="B373" s="7" t="s">
        <v>190</v>
      </c>
      <c r="C373" s="7">
        <v>7</v>
      </c>
      <c r="D373" s="21" t="s">
        <v>168</v>
      </c>
      <c r="E373" s="9" t="s">
        <v>792</v>
      </c>
      <c r="F373" s="7" t="s">
        <v>65</v>
      </c>
      <c r="G373" s="7" t="s">
        <v>253</v>
      </c>
      <c r="H373" s="22" t="s">
        <v>73</v>
      </c>
      <c r="I373" s="9" t="s">
        <v>793</v>
      </c>
      <c r="J373" s="19" t="s">
        <v>129</v>
      </c>
      <c r="K373" s="20"/>
    </row>
    <row r="374" spans="1:11" ht="15.75" customHeight="1" x14ac:dyDescent="0.25">
      <c r="A374" s="7">
        <v>25</v>
      </c>
      <c r="B374" s="7" t="s">
        <v>190</v>
      </c>
      <c r="C374" s="7">
        <v>8</v>
      </c>
      <c r="D374" s="21" t="s">
        <v>168</v>
      </c>
      <c r="E374" s="9" t="s">
        <v>794</v>
      </c>
      <c r="F374" s="7" t="s">
        <v>65</v>
      </c>
      <c r="G374" s="7" t="s">
        <v>258</v>
      </c>
      <c r="H374" s="22" t="s">
        <v>73</v>
      </c>
      <c r="I374" s="9" t="s">
        <v>795</v>
      </c>
      <c r="J374" s="19" t="s">
        <v>129</v>
      </c>
      <c r="K374" s="20"/>
    </row>
    <row r="375" spans="1:11" ht="15.75" customHeight="1" x14ac:dyDescent="0.25">
      <c r="A375" s="7">
        <v>25</v>
      </c>
      <c r="B375" s="7" t="s">
        <v>190</v>
      </c>
      <c r="C375" s="7">
        <v>9</v>
      </c>
      <c r="D375" s="21" t="s">
        <v>168</v>
      </c>
      <c r="E375" s="9" t="s">
        <v>796</v>
      </c>
      <c r="F375" s="7" t="s">
        <v>65</v>
      </c>
      <c r="G375" s="7" t="s">
        <v>258</v>
      </c>
      <c r="H375" s="22" t="s">
        <v>73</v>
      </c>
      <c r="I375" s="9" t="s">
        <v>797</v>
      </c>
      <c r="J375" s="19" t="s">
        <v>129</v>
      </c>
      <c r="K375" s="20"/>
    </row>
    <row r="376" spans="1:11" ht="15.75" customHeight="1" x14ac:dyDescent="0.25">
      <c r="A376" s="7">
        <v>25</v>
      </c>
      <c r="B376" s="7" t="s">
        <v>190</v>
      </c>
      <c r="C376" s="7">
        <v>10</v>
      </c>
      <c r="D376" s="21" t="s">
        <v>168</v>
      </c>
      <c r="E376" s="9" t="s">
        <v>798</v>
      </c>
      <c r="F376" s="7" t="s">
        <v>65</v>
      </c>
      <c r="G376" s="7" t="s">
        <v>258</v>
      </c>
      <c r="H376" s="22" t="s">
        <v>73</v>
      </c>
      <c r="I376" s="9" t="s">
        <v>799</v>
      </c>
      <c r="J376" s="19" t="s">
        <v>129</v>
      </c>
      <c r="K376" s="20"/>
    </row>
    <row r="377" spans="1:11" ht="15.75" customHeight="1" x14ac:dyDescent="0.25">
      <c r="A377" s="11">
        <v>26</v>
      </c>
      <c r="B377" s="11" t="s">
        <v>56</v>
      </c>
      <c r="C377" s="11">
        <v>1</v>
      </c>
      <c r="D377" s="12" t="s">
        <v>172</v>
      </c>
      <c r="E377" s="14" t="s">
        <v>800</v>
      </c>
      <c r="F377" s="11" t="s">
        <v>212</v>
      </c>
      <c r="G377" s="11" t="s">
        <v>213</v>
      </c>
      <c r="H377" s="18" t="s">
        <v>73</v>
      </c>
      <c r="I377" s="14" t="s">
        <v>176</v>
      </c>
      <c r="J377" s="19" t="s">
        <v>129</v>
      </c>
      <c r="K377" s="20"/>
    </row>
    <row r="378" spans="1:11" ht="15.75" customHeight="1" x14ac:dyDescent="0.25">
      <c r="A378" s="11">
        <v>26</v>
      </c>
      <c r="B378" s="11" t="s">
        <v>56</v>
      </c>
      <c r="C378" s="11">
        <v>2</v>
      </c>
      <c r="D378" s="12" t="s">
        <v>172</v>
      </c>
      <c r="E378" s="14" t="s">
        <v>801</v>
      </c>
      <c r="F378" s="11" t="s">
        <v>212</v>
      </c>
      <c r="G378" s="11" t="s">
        <v>213</v>
      </c>
      <c r="H378" s="18" t="s">
        <v>73</v>
      </c>
      <c r="I378" s="14" t="s">
        <v>176</v>
      </c>
      <c r="J378" s="19" t="s">
        <v>129</v>
      </c>
      <c r="K378" s="20"/>
    </row>
    <row r="379" spans="1:11" ht="15.75" customHeight="1" x14ac:dyDescent="0.25">
      <c r="A379" s="11">
        <v>26</v>
      </c>
      <c r="B379" s="11" t="s">
        <v>56</v>
      </c>
      <c r="C379" s="11">
        <v>3</v>
      </c>
      <c r="D379" s="12" t="s">
        <v>172</v>
      </c>
      <c r="E379" s="14" t="s">
        <v>802</v>
      </c>
      <c r="F379" s="11" t="s">
        <v>212</v>
      </c>
      <c r="G379" s="11" t="s">
        <v>226</v>
      </c>
      <c r="H379" s="18" t="s">
        <v>73</v>
      </c>
      <c r="I379" s="14" t="s">
        <v>176</v>
      </c>
      <c r="J379" s="19" t="s">
        <v>129</v>
      </c>
      <c r="K379" s="20"/>
    </row>
    <row r="380" spans="1:11" ht="15.75" customHeight="1" x14ac:dyDescent="0.25">
      <c r="A380" s="11">
        <v>26</v>
      </c>
      <c r="B380" s="11" t="s">
        <v>56</v>
      </c>
      <c r="C380" s="11">
        <v>4</v>
      </c>
      <c r="D380" s="12" t="s">
        <v>172</v>
      </c>
      <c r="E380" s="14" t="s">
        <v>803</v>
      </c>
      <c r="F380" s="11" t="s">
        <v>212</v>
      </c>
      <c r="G380" s="11" t="s">
        <v>226</v>
      </c>
      <c r="H380" s="18" t="s">
        <v>73</v>
      </c>
      <c r="I380" s="14" t="s">
        <v>176</v>
      </c>
      <c r="J380" s="19" t="s">
        <v>129</v>
      </c>
      <c r="K380" s="20"/>
    </row>
    <row r="381" spans="1:11" ht="15.75" customHeight="1" x14ac:dyDescent="0.25">
      <c r="A381" s="11">
        <v>26</v>
      </c>
      <c r="B381" s="11" t="s">
        <v>56</v>
      </c>
      <c r="C381" s="11">
        <v>5</v>
      </c>
      <c r="D381" s="12" t="s">
        <v>172</v>
      </c>
      <c r="E381" s="14" t="s">
        <v>804</v>
      </c>
      <c r="F381" s="11" t="s">
        <v>212</v>
      </c>
      <c r="G381" s="11" t="s">
        <v>226</v>
      </c>
      <c r="H381" s="18" t="s">
        <v>73</v>
      </c>
      <c r="I381" s="14" t="s">
        <v>176</v>
      </c>
      <c r="J381" s="19" t="s">
        <v>129</v>
      </c>
      <c r="K381" s="20"/>
    </row>
    <row r="382" spans="1:11" ht="15.75" customHeight="1" x14ac:dyDescent="0.25">
      <c r="A382" s="7">
        <v>26</v>
      </c>
      <c r="B382" s="7" t="s">
        <v>190</v>
      </c>
      <c r="C382" s="7">
        <v>1</v>
      </c>
      <c r="D382" s="21" t="s">
        <v>172</v>
      </c>
      <c r="E382" s="9" t="s">
        <v>805</v>
      </c>
      <c r="F382" s="7" t="s">
        <v>65</v>
      </c>
      <c r="G382" s="7" t="s">
        <v>258</v>
      </c>
      <c r="H382" s="22" t="s">
        <v>73</v>
      </c>
      <c r="I382" s="9" t="s">
        <v>806</v>
      </c>
      <c r="J382" s="19" t="s">
        <v>129</v>
      </c>
      <c r="K382" s="20"/>
    </row>
    <row r="383" spans="1:11" ht="15.75" customHeight="1" x14ac:dyDescent="0.25">
      <c r="A383" s="7">
        <v>26</v>
      </c>
      <c r="B383" s="7" t="s">
        <v>190</v>
      </c>
      <c r="C383" s="7">
        <v>2</v>
      </c>
      <c r="D383" s="21" t="s">
        <v>172</v>
      </c>
      <c r="E383" s="9" t="s">
        <v>807</v>
      </c>
      <c r="F383" s="7" t="s">
        <v>65</v>
      </c>
      <c r="G383" s="7" t="s">
        <v>258</v>
      </c>
      <c r="H383" s="22" t="s">
        <v>73</v>
      </c>
      <c r="I383" s="9" t="s">
        <v>808</v>
      </c>
      <c r="J383" s="19" t="s">
        <v>129</v>
      </c>
      <c r="K383" s="20"/>
    </row>
    <row r="384" spans="1:11" ht="15.75" customHeight="1" x14ac:dyDescent="0.25">
      <c r="A384" s="7">
        <v>26</v>
      </c>
      <c r="B384" s="7" t="s">
        <v>190</v>
      </c>
      <c r="C384" s="7">
        <v>3</v>
      </c>
      <c r="D384" s="21" t="s">
        <v>172</v>
      </c>
      <c r="E384" s="9" t="s">
        <v>809</v>
      </c>
      <c r="F384" s="7" t="s">
        <v>65</v>
      </c>
      <c r="G384" s="7" t="s">
        <v>258</v>
      </c>
      <c r="H384" s="22" t="s">
        <v>73</v>
      </c>
      <c r="I384" s="9" t="s">
        <v>810</v>
      </c>
      <c r="J384" s="19" t="s">
        <v>129</v>
      </c>
      <c r="K384" s="20"/>
    </row>
    <row r="385" spans="1:11" ht="15.75" customHeight="1" x14ac:dyDescent="0.25">
      <c r="A385" s="7">
        <v>26</v>
      </c>
      <c r="B385" s="7" t="s">
        <v>190</v>
      </c>
      <c r="C385" s="7">
        <v>4</v>
      </c>
      <c r="D385" s="21" t="s">
        <v>172</v>
      </c>
      <c r="E385" s="9" t="s">
        <v>811</v>
      </c>
      <c r="F385" s="7" t="s">
        <v>65</v>
      </c>
      <c r="G385" s="7" t="s">
        <v>258</v>
      </c>
      <c r="H385" s="22" t="s">
        <v>73</v>
      </c>
      <c r="I385" s="9" t="s">
        <v>812</v>
      </c>
      <c r="J385" s="19" t="s">
        <v>129</v>
      </c>
      <c r="K385" s="20"/>
    </row>
    <row r="386" spans="1:11" ht="15.75" customHeight="1" x14ac:dyDescent="0.25">
      <c r="A386" s="7">
        <v>26</v>
      </c>
      <c r="B386" s="7" t="s">
        <v>190</v>
      </c>
      <c r="C386" s="7">
        <v>5</v>
      </c>
      <c r="D386" s="21" t="s">
        <v>172</v>
      </c>
      <c r="E386" s="9" t="s">
        <v>813</v>
      </c>
      <c r="F386" s="7" t="s">
        <v>65</v>
      </c>
      <c r="G386" s="7" t="s">
        <v>258</v>
      </c>
      <c r="H386" s="22" t="s">
        <v>73</v>
      </c>
      <c r="I386" s="9" t="s">
        <v>814</v>
      </c>
      <c r="J386" s="19" t="s">
        <v>129</v>
      </c>
      <c r="K386" s="20"/>
    </row>
    <row r="387" spans="1:11" ht="15.75" customHeight="1" x14ac:dyDescent="0.25">
      <c r="A387" s="7">
        <v>26</v>
      </c>
      <c r="B387" s="7" t="s">
        <v>190</v>
      </c>
      <c r="C387" s="7">
        <v>6</v>
      </c>
      <c r="D387" s="21" t="s">
        <v>172</v>
      </c>
      <c r="E387" s="9" t="s">
        <v>815</v>
      </c>
      <c r="F387" s="7" t="s">
        <v>65</v>
      </c>
      <c r="G387" s="7" t="s">
        <v>261</v>
      </c>
      <c r="H387" s="22" t="s">
        <v>73</v>
      </c>
      <c r="I387" s="9" t="s">
        <v>816</v>
      </c>
      <c r="J387" s="19" t="s">
        <v>129</v>
      </c>
      <c r="K387" s="20"/>
    </row>
    <row r="388" spans="1:11" ht="15.75" customHeight="1" x14ac:dyDescent="0.25">
      <c r="A388" s="7">
        <v>26</v>
      </c>
      <c r="B388" s="7" t="s">
        <v>190</v>
      </c>
      <c r="C388" s="7">
        <v>7</v>
      </c>
      <c r="D388" s="21" t="s">
        <v>172</v>
      </c>
      <c r="E388" s="9" t="s">
        <v>817</v>
      </c>
      <c r="F388" s="7" t="s">
        <v>65</v>
      </c>
      <c r="G388" s="7" t="s">
        <v>261</v>
      </c>
      <c r="H388" s="22" t="s">
        <v>73</v>
      </c>
      <c r="I388" s="9" t="s">
        <v>818</v>
      </c>
      <c r="J388" s="19" t="s">
        <v>129</v>
      </c>
      <c r="K388" s="20"/>
    </row>
    <row r="389" spans="1:11" ht="15.75" customHeight="1" x14ac:dyDescent="0.25">
      <c r="A389" s="7">
        <v>26</v>
      </c>
      <c r="B389" s="7" t="s">
        <v>190</v>
      </c>
      <c r="C389" s="7">
        <v>8</v>
      </c>
      <c r="D389" s="21" t="s">
        <v>172</v>
      </c>
      <c r="E389" s="9" t="s">
        <v>819</v>
      </c>
      <c r="F389" s="7" t="s">
        <v>65</v>
      </c>
      <c r="G389" s="7" t="s">
        <v>261</v>
      </c>
      <c r="H389" s="22" t="s">
        <v>73</v>
      </c>
      <c r="I389" s="9" t="s">
        <v>806</v>
      </c>
      <c r="J389" s="19" t="s">
        <v>129</v>
      </c>
      <c r="K389" s="20"/>
    </row>
    <row r="390" spans="1:11" ht="15.75" customHeight="1" x14ac:dyDescent="0.25">
      <c r="A390" s="7">
        <v>26</v>
      </c>
      <c r="B390" s="7" t="s">
        <v>190</v>
      </c>
      <c r="C390" s="7">
        <v>9</v>
      </c>
      <c r="D390" s="21" t="s">
        <v>172</v>
      </c>
      <c r="E390" s="9" t="s">
        <v>820</v>
      </c>
      <c r="F390" s="7" t="s">
        <v>65</v>
      </c>
      <c r="G390" s="7" t="s">
        <v>261</v>
      </c>
      <c r="H390" s="22" t="s">
        <v>73</v>
      </c>
      <c r="I390" s="9" t="s">
        <v>812</v>
      </c>
      <c r="J390" s="19" t="s">
        <v>129</v>
      </c>
      <c r="K390" s="20"/>
    </row>
    <row r="391" spans="1:11" ht="15.75" customHeight="1" x14ac:dyDescent="0.25">
      <c r="A391" s="7">
        <v>26</v>
      </c>
      <c r="B391" s="7" t="s">
        <v>190</v>
      </c>
      <c r="C391" s="7">
        <v>10</v>
      </c>
      <c r="D391" s="21" t="s">
        <v>172</v>
      </c>
      <c r="E391" s="9" t="s">
        <v>821</v>
      </c>
      <c r="F391" s="7" t="s">
        <v>65</v>
      </c>
      <c r="G391" s="7" t="s">
        <v>261</v>
      </c>
      <c r="H391" s="22" t="s">
        <v>73</v>
      </c>
      <c r="I391" s="9" t="s">
        <v>822</v>
      </c>
      <c r="J391" s="19" t="s">
        <v>129</v>
      </c>
      <c r="K391" s="20"/>
    </row>
    <row r="392" spans="1:11" ht="15.75" customHeight="1" x14ac:dyDescent="0.25">
      <c r="A392" s="11">
        <v>27</v>
      </c>
      <c r="B392" s="11" t="s">
        <v>56</v>
      </c>
      <c r="C392" s="11">
        <v>1</v>
      </c>
      <c r="D392" s="12" t="s">
        <v>177</v>
      </c>
      <c r="E392" s="14" t="s">
        <v>823</v>
      </c>
      <c r="F392" s="11" t="s">
        <v>65</v>
      </c>
      <c r="G392" s="11" t="s">
        <v>236</v>
      </c>
      <c r="H392" s="18" t="s">
        <v>73</v>
      </c>
      <c r="I392" s="14" t="s">
        <v>824</v>
      </c>
      <c r="J392" s="19" t="s">
        <v>129</v>
      </c>
      <c r="K392" s="20"/>
    </row>
    <row r="393" spans="1:11" ht="15.75" customHeight="1" x14ac:dyDescent="0.25">
      <c r="A393" s="11">
        <v>27</v>
      </c>
      <c r="B393" s="11" t="s">
        <v>56</v>
      </c>
      <c r="C393" s="11">
        <v>2</v>
      </c>
      <c r="D393" s="12" t="s">
        <v>177</v>
      </c>
      <c r="E393" s="14" t="s">
        <v>825</v>
      </c>
      <c r="F393" s="11" t="s">
        <v>65</v>
      </c>
      <c r="G393" s="11" t="s">
        <v>236</v>
      </c>
      <c r="H393" s="18" t="s">
        <v>73</v>
      </c>
      <c r="I393" s="14" t="s">
        <v>826</v>
      </c>
      <c r="J393" s="19" t="s">
        <v>129</v>
      </c>
      <c r="K393" s="20"/>
    </row>
    <row r="394" spans="1:11" ht="15.75" customHeight="1" x14ac:dyDescent="0.25">
      <c r="A394" s="11">
        <v>27</v>
      </c>
      <c r="B394" s="11" t="s">
        <v>56</v>
      </c>
      <c r="C394" s="11">
        <v>3</v>
      </c>
      <c r="D394" s="12" t="s">
        <v>177</v>
      </c>
      <c r="E394" s="14" t="s">
        <v>827</v>
      </c>
      <c r="F394" s="11" t="s">
        <v>65</v>
      </c>
      <c r="G394" s="11" t="s">
        <v>236</v>
      </c>
      <c r="H394" s="18" t="s">
        <v>73</v>
      </c>
      <c r="I394" s="14" t="s">
        <v>824</v>
      </c>
      <c r="J394" s="19" t="s">
        <v>129</v>
      </c>
      <c r="K394" s="20"/>
    </row>
    <row r="395" spans="1:11" ht="15.75" customHeight="1" x14ac:dyDescent="0.25">
      <c r="A395" s="11">
        <v>27</v>
      </c>
      <c r="B395" s="11" t="s">
        <v>56</v>
      </c>
      <c r="C395" s="11">
        <v>4</v>
      </c>
      <c r="D395" s="12" t="s">
        <v>177</v>
      </c>
      <c r="E395" s="14" t="s">
        <v>828</v>
      </c>
      <c r="F395" s="11" t="s">
        <v>65</v>
      </c>
      <c r="G395" s="11" t="s">
        <v>244</v>
      </c>
      <c r="H395" s="18" t="s">
        <v>73</v>
      </c>
      <c r="I395" s="14" t="s">
        <v>829</v>
      </c>
      <c r="J395" s="19" t="s">
        <v>129</v>
      </c>
      <c r="K395" s="20"/>
    </row>
    <row r="396" spans="1:11" ht="15.75" customHeight="1" x14ac:dyDescent="0.25">
      <c r="A396" s="11">
        <v>27</v>
      </c>
      <c r="B396" s="11" t="s">
        <v>56</v>
      </c>
      <c r="C396" s="11">
        <v>5</v>
      </c>
      <c r="D396" s="12" t="s">
        <v>177</v>
      </c>
      <c r="E396" s="14" t="s">
        <v>830</v>
      </c>
      <c r="F396" s="11" t="s">
        <v>65</v>
      </c>
      <c r="G396" s="11" t="s">
        <v>244</v>
      </c>
      <c r="H396" s="18" t="s">
        <v>73</v>
      </c>
      <c r="I396" s="14" t="s">
        <v>831</v>
      </c>
      <c r="J396" s="19" t="s">
        <v>129</v>
      </c>
      <c r="K396" s="20"/>
    </row>
    <row r="397" spans="1:11" ht="15.75" customHeight="1" x14ac:dyDescent="0.25">
      <c r="A397" s="7">
        <v>27</v>
      </c>
      <c r="B397" s="7" t="s">
        <v>190</v>
      </c>
      <c r="C397" s="7">
        <v>1</v>
      </c>
      <c r="D397" s="21" t="s">
        <v>177</v>
      </c>
      <c r="E397" s="9" t="s">
        <v>832</v>
      </c>
      <c r="F397" s="7" t="s">
        <v>212</v>
      </c>
      <c r="G397" s="7" t="s">
        <v>226</v>
      </c>
      <c r="H397" s="22" t="s">
        <v>73</v>
      </c>
      <c r="I397" s="9" t="s">
        <v>180</v>
      </c>
      <c r="J397" s="19" t="s">
        <v>129</v>
      </c>
      <c r="K397" s="20"/>
    </row>
    <row r="398" spans="1:11" ht="15.75" customHeight="1" x14ac:dyDescent="0.25">
      <c r="A398" s="7">
        <v>27</v>
      </c>
      <c r="B398" s="7" t="s">
        <v>190</v>
      </c>
      <c r="C398" s="7">
        <v>2</v>
      </c>
      <c r="D398" s="21" t="s">
        <v>177</v>
      </c>
      <c r="E398" s="9" t="s">
        <v>833</v>
      </c>
      <c r="F398" s="7" t="s">
        <v>212</v>
      </c>
      <c r="G398" s="7" t="s">
        <v>226</v>
      </c>
      <c r="H398" s="22" t="s">
        <v>73</v>
      </c>
      <c r="I398" s="9" t="s">
        <v>180</v>
      </c>
      <c r="J398" s="19" t="s">
        <v>129</v>
      </c>
      <c r="K398" s="20"/>
    </row>
    <row r="399" spans="1:11" ht="15.75" customHeight="1" x14ac:dyDescent="0.25">
      <c r="A399" s="7">
        <v>27</v>
      </c>
      <c r="B399" s="7" t="s">
        <v>190</v>
      </c>
      <c r="C399" s="7">
        <v>3</v>
      </c>
      <c r="D399" s="21" t="s">
        <v>177</v>
      </c>
      <c r="E399" s="9" t="s">
        <v>834</v>
      </c>
      <c r="F399" s="7" t="s">
        <v>212</v>
      </c>
      <c r="G399" s="7" t="s">
        <v>226</v>
      </c>
      <c r="H399" s="22" t="s">
        <v>73</v>
      </c>
      <c r="I399" s="9" t="s">
        <v>180</v>
      </c>
      <c r="J399" s="19" t="s">
        <v>129</v>
      </c>
      <c r="K399" s="20"/>
    </row>
    <row r="400" spans="1:11" ht="15.75" customHeight="1" x14ac:dyDescent="0.25">
      <c r="A400" s="7">
        <v>27</v>
      </c>
      <c r="B400" s="7" t="s">
        <v>190</v>
      </c>
      <c r="C400" s="7">
        <v>4</v>
      </c>
      <c r="D400" s="21" t="s">
        <v>177</v>
      </c>
      <c r="E400" s="9" t="s">
        <v>835</v>
      </c>
      <c r="F400" s="7" t="s">
        <v>65</v>
      </c>
      <c r="G400" s="7" t="s">
        <v>253</v>
      </c>
      <c r="H400" s="22" t="s">
        <v>73</v>
      </c>
      <c r="I400" s="9" t="s">
        <v>836</v>
      </c>
      <c r="J400" s="19" t="s">
        <v>129</v>
      </c>
      <c r="K400" s="20"/>
    </row>
    <row r="401" spans="1:11" ht="15.75" customHeight="1" x14ac:dyDescent="0.25">
      <c r="A401" s="7">
        <v>27</v>
      </c>
      <c r="B401" s="7" t="s">
        <v>190</v>
      </c>
      <c r="C401" s="7">
        <v>5</v>
      </c>
      <c r="D401" s="21" t="s">
        <v>177</v>
      </c>
      <c r="E401" s="9" t="s">
        <v>837</v>
      </c>
      <c r="F401" s="7" t="s">
        <v>65</v>
      </c>
      <c r="G401" s="7" t="s">
        <v>253</v>
      </c>
      <c r="H401" s="22" t="s">
        <v>73</v>
      </c>
      <c r="I401" s="9" t="s">
        <v>838</v>
      </c>
      <c r="J401" s="19" t="s">
        <v>129</v>
      </c>
      <c r="K401" s="20"/>
    </row>
    <row r="402" spans="1:11" ht="15.75" customHeight="1" x14ac:dyDescent="0.25">
      <c r="A402" s="7">
        <v>27</v>
      </c>
      <c r="B402" s="7" t="s">
        <v>190</v>
      </c>
      <c r="C402" s="7">
        <v>6</v>
      </c>
      <c r="D402" s="21" t="s">
        <v>177</v>
      </c>
      <c r="E402" s="9" t="s">
        <v>839</v>
      </c>
      <c r="F402" s="7" t="s">
        <v>65</v>
      </c>
      <c r="G402" s="7" t="s">
        <v>253</v>
      </c>
      <c r="H402" s="22" t="s">
        <v>73</v>
      </c>
      <c r="I402" s="9" t="s">
        <v>840</v>
      </c>
      <c r="J402" s="19" t="s">
        <v>129</v>
      </c>
      <c r="K402" s="20"/>
    </row>
    <row r="403" spans="1:11" ht="15.75" customHeight="1" x14ac:dyDescent="0.25">
      <c r="A403" s="7">
        <v>27</v>
      </c>
      <c r="B403" s="7" t="s">
        <v>190</v>
      </c>
      <c r="C403" s="7">
        <v>7</v>
      </c>
      <c r="D403" s="21" t="s">
        <v>177</v>
      </c>
      <c r="E403" s="9" t="s">
        <v>841</v>
      </c>
      <c r="F403" s="7" t="s">
        <v>65</v>
      </c>
      <c r="G403" s="7" t="s">
        <v>253</v>
      </c>
      <c r="H403" s="22" t="s">
        <v>73</v>
      </c>
      <c r="I403" s="9" t="s">
        <v>842</v>
      </c>
      <c r="J403" s="19" t="s">
        <v>129</v>
      </c>
      <c r="K403" s="20"/>
    </row>
    <row r="404" spans="1:11" ht="15.75" customHeight="1" x14ac:dyDescent="0.25">
      <c r="A404" s="7">
        <v>27</v>
      </c>
      <c r="B404" s="7" t="s">
        <v>190</v>
      </c>
      <c r="C404" s="7">
        <v>8</v>
      </c>
      <c r="D404" s="21" t="s">
        <v>177</v>
      </c>
      <c r="E404" s="9" t="s">
        <v>843</v>
      </c>
      <c r="F404" s="7" t="s">
        <v>65</v>
      </c>
      <c r="G404" s="7" t="s">
        <v>253</v>
      </c>
      <c r="H404" s="22" t="s">
        <v>73</v>
      </c>
      <c r="I404" s="9" t="s">
        <v>831</v>
      </c>
      <c r="J404" s="19" t="s">
        <v>129</v>
      </c>
      <c r="K404" s="20"/>
    </row>
    <row r="405" spans="1:11" ht="15.75" customHeight="1" x14ac:dyDescent="0.25">
      <c r="A405" s="7">
        <v>27</v>
      </c>
      <c r="B405" s="7" t="s">
        <v>190</v>
      </c>
      <c r="C405" s="7">
        <v>9</v>
      </c>
      <c r="D405" s="21" t="s">
        <v>177</v>
      </c>
      <c r="E405" s="9" t="s">
        <v>844</v>
      </c>
      <c r="F405" s="7" t="s">
        <v>65</v>
      </c>
      <c r="G405" s="7" t="s">
        <v>253</v>
      </c>
      <c r="H405" s="22" t="s">
        <v>73</v>
      </c>
      <c r="I405" s="9" t="s">
        <v>845</v>
      </c>
      <c r="J405" s="19" t="s">
        <v>129</v>
      </c>
      <c r="K405" s="20"/>
    </row>
    <row r="406" spans="1:11" ht="15.75" customHeight="1" x14ac:dyDescent="0.25">
      <c r="A406" s="7">
        <v>27</v>
      </c>
      <c r="B406" s="7" t="s">
        <v>190</v>
      </c>
      <c r="C406" s="7">
        <v>10</v>
      </c>
      <c r="D406" s="21" t="s">
        <v>177</v>
      </c>
      <c r="E406" s="9" t="s">
        <v>846</v>
      </c>
      <c r="F406" s="7" t="s">
        <v>65</v>
      </c>
      <c r="G406" s="7" t="s">
        <v>253</v>
      </c>
      <c r="H406" s="22" t="s">
        <v>73</v>
      </c>
      <c r="I406" s="9" t="s">
        <v>847</v>
      </c>
      <c r="J406" s="19" t="s">
        <v>129</v>
      </c>
      <c r="K406" s="20"/>
    </row>
    <row r="407" spans="1:11" ht="15.75" customHeight="1" x14ac:dyDescent="0.25">
      <c r="A407" s="11">
        <v>28</v>
      </c>
      <c r="B407" s="11" t="s">
        <v>56</v>
      </c>
      <c r="C407" s="11">
        <v>1</v>
      </c>
      <c r="D407" s="12" t="s">
        <v>181</v>
      </c>
      <c r="E407" s="14" t="s">
        <v>848</v>
      </c>
      <c r="F407" s="11" t="s">
        <v>65</v>
      </c>
      <c r="G407" s="11" t="s">
        <v>244</v>
      </c>
      <c r="H407" s="18" t="s">
        <v>73</v>
      </c>
      <c r="I407" s="14" t="s">
        <v>849</v>
      </c>
      <c r="J407" s="19" t="s">
        <v>129</v>
      </c>
      <c r="K407" s="20"/>
    </row>
    <row r="408" spans="1:11" ht="15.75" customHeight="1" x14ac:dyDescent="0.25">
      <c r="A408" s="11">
        <v>28</v>
      </c>
      <c r="B408" s="11" t="s">
        <v>56</v>
      </c>
      <c r="C408" s="11">
        <v>2</v>
      </c>
      <c r="D408" s="12" t="s">
        <v>181</v>
      </c>
      <c r="E408" s="14" t="s">
        <v>850</v>
      </c>
      <c r="F408" s="11" t="s">
        <v>212</v>
      </c>
      <c r="G408" s="11" t="s">
        <v>226</v>
      </c>
      <c r="H408" s="18" t="s">
        <v>73</v>
      </c>
      <c r="I408" s="14" t="s">
        <v>185</v>
      </c>
      <c r="J408" s="19" t="s">
        <v>129</v>
      </c>
      <c r="K408" s="20"/>
    </row>
    <row r="409" spans="1:11" ht="15.75" customHeight="1" x14ac:dyDescent="0.25">
      <c r="A409" s="11">
        <v>28</v>
      </c>
      <c r="B409" s="11" t="s">
        <v>56</v>
      </c>
      <c r="C409" s="11">
        <v>3</v>
      </c>
      <c r="D409" s="12" t="s">
        <v>181</v>
      </c>
      <c r="E409" s="14" t="s">
        <v>851</v>
      </c>
      <c r="F409" s="11" t="s">
        <v>212</v>
      </c>
      <c r="G409" s="11" t="s">
        <v>226</v>
      </c>
      <c r="H409" s="18" t="s">
        <v>73</v>
      </c>
      <c r="I409" s="14" t="s">
        <v>185</v>
      </c>
      <c r="J409" s="19" t="s">
        <v>129</v>
      </c>
      <c r="K409" s="20"/>
    </row>
    <row r="410" spans="1:11" ht="15.75" customHeight="1" x14ac:dyDescent="0.25">
      <c r="A410" s="11">
        <v>28</v>
      </c>
      <c r="B410" s="11" t="s">
        <v>56</v>
      </c>
      <c r="C410" s="11">
        <v>4</v>
      </c>
      <c r="D410" s="12" t="s">
        <v>181</v>
      </c>
      <c r="E410" s="14" t="s">
        <v>852</v>
      </c>
      <c r="F410" s="11" t="s">
        <v>65</v>
      </c>
      <c r="G410" s="11" t="s">
        <v>253</v>
      </c>
      <c r="H410" s="18" t="s">
        <v>73</v>
      </c>
      <c r="I410" s="14" t="s">
        <v>853</v>
      </c>
      <c r="J410" s="19" t="s">
        <v>129</v>
      </c>
      <c r="K410" s="20"/>
    </row>
    <row r="411" spans="1:11" ht="15.75" customHeight="1" x14ac:dyDescent="0.25">
      <c r="A411" s="11">
        <v>28</v>
      </c>
      <c r="B411" s="11" t="s">
        <v>56</v>
      </c>
      <c r="C411" s="11">
        <v>5</v>
      </c>
      <c r="D411" s="12" t="s">
        <v>181</v>
      </c>
      <c r="E411" s="14" t="s">
        <v>854</v>
      </c>
      <c r="F411" s="11" t="s">
        <v>65</v>
      </c>
      <c r="G411" s="11" t="s">
        <v>253</v>
      </c>
      <c r="H411" s="18" t="s">
        <v>73</v>
      </c>
      <c r="I411" s="14" t="s">
        <v>855</v>
      </c>
      <c r="J411" s="19" t="s">
        <v>129</v>
      </c>
      <c r="K411" s="20"/>
    </row>
    <row r="412" spans="1:11" ht="15.75" customHeight="1" x14ac:dyDescent="0.25">
      <c r="A412" s="7">
        <v>28</v>
      </c>
      <c r="B412" s="7" t="s">
        <v>190</v>
      </c>
      <c r="C412" s="7">
        <v>1</v>
      </c>
      <c r="D412" s="21" t="s">
        <v>181</v>
      </c>
      <c r="E412" s="9" t="s">
        <v>856</v>
      </c>
      <c r="F412" s="7" t="s">
        <v>65</v>
      </c>
      <c r="G412" s="7" t="s">
        <v>253</v>
      </c>
      <c r="H412" s="22" t="s">
        <v>73</v>
      </c>
      <c r="I412" s="9" t="s">
        <v>857</v>
      </c>
      <c r="J412" s="19" t="s">
        <v>129</v>
      </c>
      <c r="K412" s="20"/>
    </row>
    <row r="413" spans="1:11" ht="15.75" customHeight="1" x14ac:dyDescent="0.25">
      <c r="A413" s="7">
        <v>28</v>
      </c>
      <c r="B413" s="7" t="s">
        <v>190</v>
      </c>
      <c r="C413" s="7">
        <v>2</v>
      </c>
      <c r="D413" s="21" t="s">
        <v>181</v>
      </c>
      <c r="E413" s="9" t="s">
        <v>858</v>
      </c>
      <c r="F413" s="7" t="s">
        <v>65</v>
      </c>
      <c r="G413" s="7" t="s">
        <v>253</v>
      </c>
      <c r="H413" s="22" t="s">
        <v>73</v>
      </c>
      <c r="I413" s="9" t="s">
        <v>859</v>
      </c>
      <c r="J413" s="19" t="s">
        <v>129</v>
      </c>
      <c r="K413" s="20"/>
    </row>
    <row r="414" spans="1:11" ht="15.75" customHeight="1" x14ac:dyDescent="0.25">
      <c r="A414" s="7">
        <v>28</v>
      </c>
      <c r="B414" s="7" t="s">
        <v>190</v>
      </c>
      <c r="C414" s="7">
        <v>3</v>
      </c>
      <c r="D414" s="21" t="s">
        <v>181</v>
      </c>
      <c r="E414" s="9" t="s">
        <v>860</v>
      </c>
      <c r="F414" s="7" t="s">
        <v>65</v>
      </c>
      <c r="G414" s="7" t="s">
        <v>253</v>
      </c>
      <c r="H414" s="22" t="s">
        <v>73</v>
      </c>
      <c r="I414" s="9" t="s">
        <v>853</v>
      </c>
      <c r="J414" s="19" t="s">
        <v>129</v>
      </c>
      <c r="K414" s="20"/>
    </row>
    <row r="415" spans="1:11" ht="15.75" customHeight="1" x14ac:dyDescent="0.25">
      <c r="A415" s="7">
        <v>28</v>
      </c>
      <c r="B415" s="7" t="s">
        <v>190</v>
      </c>
      <c r="C415" s="7">
        <v>4</v>
      </c>
      <c r="D415" s="21" t="s">
        <v>181</v>
      </c>
      <c r="E415" s="9" t="s">
        <v>861</v>
      </c>
      <c r="F415" s="7" t="s">
        <v>65</v>
      </c>
      <c r="G415" s="7" t="s">
        <v>253</v>
      </c>
      <c r="H415" s="22" t="s">
        <v>73</v>
      </c>
      <c r="I415" s="9" t="s">
        <v>862</v>
      </c>
      <c r="J415" s="19" t="s">
        <v>129</v>
      </c>
      <c r="K415" s="20"/>
    </row>
    <row r="416" spans="1:11" ht="15.75" customHeight="1" x14ac:dyDescent="0.25">
      <c r="A416" s="7">
        <v>28</v>
      </c>
      <c r="B416" s="7" t="s">
        <v>190</v>
      </c>
      <c r="C416" s="7">
        <v>5</v>
      </c>
      <c r="D416" s="21" t="s">
        <v>181</v>
      </c>
      <c r="E416" s="9" t="s">
        <v>863</v>
      </c>
      <c r="F416" s="7" t="s">
        <v>65</v>
      </c>
      <c r="G416" s="7" t="s">
        <v>258</v>
      </c>
      <c r="H416" s="22" t="s">
        <v>73</v>
      </c>
      <c r="I416" s="9" t="s">
        <v>864</v>
      </c>
      <c r="J416" s="19" t="s">
        <v>129</v>
      </c>
      <c r="K416" s="20"/>
    </row>
    <row r="417" spans="1:11" ht="15.75" customHeight="1" x14ac:dyDescent="0.25">
      <c r="A417" s="7">
        <v>28</v>
      </c>
      <c r="B417" s="7" t="s">
        <v>190</v>
      </c>
      <c r="C417" s="7">
        <v>6</v>
      </c>
      <c r="D417" s="21" t="s">
        <v>181</v>
      </c>
      <c r="E417" s="9" t="s">
        <v>865</v>
      </c>
      <c r="F417" s="7" t="s">
        <v>65</v>
      </c>
      <c r="G417" s="7" t="s">
        <v>258</v>
      </c>
      <c r="H417" s="22" t="s">
        <v>73</v>
      </c>
      <c r="I417" s="9" t="s">
        <v>866</v>
      </c>
      <c r="J417" s="19" t="s">
        <v>129</v>
      </c>
      <c r="K417" s="20"/>
    </row>
    <row r="418" spans="1:11" ht="15.75" customHeight="1" x14ac:dyDescent="0.25">
      <c r="A418" s="7">
        <v>28</v>
      </c>
      <c r="B418" s="7" t="s">
        <v>190</v>
      </c>
      <c r="C418" s="7">
        <v>7</v>
      </c>
      <c r="D418" s="21" t="s">
        <v>181</v>
      </c>
      <c r="E418" s="9" t="s">
        <v>867</v>
      </c>
      <c r="F418" s="7" t="s">
        <v>65</v>
      </c>
      <c r="G418" s="7" t="s">
        <v>258</v>
      </c>
      <c r="H418" s="22" t="s">
        <v>73</v>
      </c>
      <c r="I418" s="9" t="s">
        <v>868</v>
      </c>
      <c r="J418" s="19" t="s">
        <v>129</v>
      </c>
      <c r="K418" s="20"/>
    </row>
    <row r="419" spans="1:11" ht="15.75" customHeight="1" x14ac:dyDescent="0.25">
      <c r="A419" s="7">
        <v>28</v>
      </c>
      <c r="B419" s="7" t="s">
        <v>190</v>
      </c>
      <c r="C419" s="7">
        <v>8</v>
      </c>
      <c r="D419" s="21" t="s">
        <v>181</v>
      </c>
      <c r="E419" s="9" t="s">
        <v>869</v>
      </c>
      <c r="F419" s="7" t="s">
        <v>65</v>
      </c>
      <c r="G419" s="7" t="s">
        <v>258</v>
      </c>
      <c r="H419" s="22" t="s">
        <v>73</v>
      </c>
      <c r="I419" s="9" t="s">
        <v>870</v>
      </c>
      <c r="J419" s="19" t="s">
        <v>129</v>
      </c>
      <c r="K419" s="20"/>
    </row>
    <row r="420" spans="1:11" ht="15.75" customHeight="1" x14ac:dyDescent="0.25">
      <c r="A420" s="7">
        <v>28</v>
      </c>
      <c r="B420" s="7" t="s">
        <v>190</v>
      </c>
      <c r="C420" s="7">
        <v>9</v>
      </c>
      <c r="D420" s="21" t="s">
        <v>181</v>
      </c>
      <c r="E420" s="9" t="s">
        <v>871</v>
      </c>
      <c r="F420" s="7" t="s">
        <v>65</v>
      </c>
      <c r="G420" s="7" t="s">
        <v>258</v>
      </c>
      <c r="H420" s="22" t="s">
        <v>73</v>
      </c>
      <c r="I420" s="9" t="s">
        <v>872</v>
      </c>
      <c r="J420" s="19" t="s">
        <v>129</v>
      </c>
      <c r="K420" s="20"/>
    </row>
    <row r="421" spans="1:11" ht="15.75" customHeight="1" x14ac:dyDescent="0.25">
      <c r="A421" s="7">
        <v>28</v>
      </c>
      <c r="B421" s="7" t="s">
        <v>190</v>
      </c>
      <c r="C421" s="7">
        <v>10</v>
      </c>
      <c r="D421" s="21" t="s">
        <v>181</v>
      </c>
      <c r="E421" s="9" t="s">
        <v>873</v>
      </c>
      <c r="F421" s="7" t="s">
        <v>65</v>
      </c>
      <c r="G421" s="7" t="s">
        <v>258</v>
      </c>
      <c r="H421" s="22" t="s">
        <v>73</v>
      </c>
      <c r="I421" s="9" t="s">
        <v>874</v>
      </c>
      <c r="J421" s="19" t="s">
        <v>129</v>
      </c>
      <c r="K421" s="20"/>
    </row>
    <row r="422" spans="1:11" ht="15.75" customHeight="1" x14ac:dyDescent="0.25">
      <c r="A422" s="11">
        <v>29</v>
      </c>
      <c r="B422" s="11" t="s">
        <v>56</v>
      </c>
      <c r="C422" s="11">
        <v>1</v>
      </c>
      <c r="D422" s="12" t="s">
        <v>186</v>
      </c>
      <c r="E422" s="14" t="s">
        <v>875</v>
      </c>
      <c r="F422" s="11" t="s">
        <v>65</v>
      </c>
      <c r="G422" s="11" t="s">
        <v>244</v>
      </c>
      <c r="H422" s="18" t="s">
        <v>73</v>
      </c>
      <c r="I422" s="14" t="s">
        <v>876</v>
      </c>
      <c r="J422" s="19" t="s">
        <v>129</v>
      </c>
      <c r="K422" s="20"/>
    </row>
    <row r="423" spans="1:11" ht="15.75" customHeight="1" x14ac:dyDescent="0.25">
      <c r="A423" s="11">
        <v>29</v>
      </c>
      <c r="B423" s="11" t="s">
        <v>56</v>
      </c>
      <c r="C423" s="11">
        <v>2</v>
      </c>
      <c r="D423" s="12" t="s">
        <v>186</v>
      </c>
      <c r="E423" s="14" t="s">
        <v>877</v>
      </c>
      <c r="F423" s="11" t="s">
        <v>212</v>
      </c>
      <c r="G423" s="11" t="s">
        <v>226</v>
      </c>
      <c r="H423" s="18" t="s">
        <v>73</v>
      </c>
      <c r="I423" s="14" t="s">
        <v>189</v>
      </c>
      <c r="J423" s="19" t="s">
        <v>129</v>
      </c>
      <c r="K423" s="20"/>
    </row>
    <row r="424" spans="1:11" ht="15.75" customHeight="1" x14ac:dyDescent="0.25">
      <c r="A424" s="11">
        <v>29</v>
      </c>
      <c r="B424" s="11" t="s">
        <v>56</v>
      </c>
      <c r="C424" s="11">
        <v>3</v>
      </c>
      <c r="D424" s="12" t="s">
        <v>186</v>
      </c>
      <c r="E424" s="14" t="s">
        <v>878</v>
      </c>
      <c r="F424" s="11" t="s">
        <v>212</v>
      </c>
      <c r="G424" s="11" t="s">
        <v>226</v>
      </c>
      <c r="H424" s="18" t="s">
        <v>73</v>
      </c>
      <c r="I424" s="14" t="s">
        <v>189</v>
      </c>
      <c r="J424" s="19" t="s">
        <v>129</v>
      </c>
      <c r="K424" s="20"/>
    </row>
    <row r="425" spans="1:11" ht="15.75" customHeight="1" x14ac:dyDescent="0.25">
      <c r="A425" s="11">
        <v>29</v>
      </c>
      <c r="B425" s="11" t="s">
        <v>56</v>
      </c>
      <c r="C425" s="11">
        <v>4</v>
      </c>
      <c r="D425" s="12" t="s">
        <v>186</v>
      </c>
      <c r="E425" s="14" t="s">
        <v>879</v>
      </c>
      <c r="F425" s="11" t="s">
        <v>212</v>
      </c>
      <c r="G425" s="11" t="s">
        <v>226</v>
      </c>
      <c r="H425" s="18" t="s">
        <v>73</v>
      </c>
      <c r="I425" s="14" t="s">
        <v>189</v>
      </c>
      <c r="J425" s="19" t="s">
        <v>129</v>
      </c>
      <c r="K425" s="20"/>
    </row>
    <row r="426" spans="1:11" ht="15.75" customHeight="1" x14ac:dyDescent="0.25">
      <c r="A426" s="11">
        <v>29</v>
      </c>
      <c r="B426" s="11" t="s">
        <v>56</v>
      </c>
      <c r="C426" s="11">
        <v>5</v>
      </c>
      <c r="D426" s="12" t="s">
        <v>186</v>
      </c>
      <c r="E426" s="14" t="s">
        <v>880</v>
      </c>
      <c r="F426" s="11" t="s">
        <v>212</v>
      </c>
      <c r="G426" s="11" t="s">
        <v>226</v>
      </c>
      <c r="H426" s="18" t="s">
        <v>73</v>
      </c>
      <c r="I426" s="14" t="s">
        <v>189</v>
      </c>
      <c r="J426" s="19" t="s">
        <v>129</v>
      </c>
      <c r="K426" s="20"/>
    </row>
    <row r="427" spans="1:11" ht="15.75" customHeight="1" x14ac:dyDescent="0.25">
      <c r="A427" s="7">
        <v>29</v>
      </c>
      <c r="B427" s="7" t="s">
        <v>190</v>
      </c>
      <c r="C427" s="7">
        <v>1</v>
      </c>
      <c r="D427" s="21" t="s">
        <v>186</v>
      </c>
      <c r="E427" s="9" t="s">
        <v>881</v>
      </c>
      <c r="F427" s="7" t="s">
        <v>65</v>
      </c>
      <c r="G427" s="7" t="s">
        <v>253</v>
      </c>
      <c r="H427" s="22" t="s">
        <v>73</v>
      </c>
      <c r="I427" s="9" t="s">
        <v>882</v>
      </c>
      <c r="J427" s="19" t="s">
        <v>129</v>
      </c>
      <c r="K427" s="20"/>
    </row>
    <row r="428" spans="1:11" ht="15.75" customHeight="1" x14ac:dyDescent="0.25">
      <c r="A428" s="7">
        <v>29</v>
      </c>
      <c r="B428" s="7" t="s">
        <v>190</v>
      </c>
      <c r="C428" s="7">
        <v>2</v>
      </c>
      <c r="D428" s="21" t="s">
        <v>186</v>
      </c>
      <c r="E428" s="9" t="s">
        <v>883</v>
      </c>
      <c r="F428" s="7" t="s">
        <v>65</v>
      </c>
      <c r="G428" s="7" t="s">
        <v>253</v>
      </c>
      <c r="H428" s="22" t="s">
        <v>73</v>
      </c>
      <c r="I428" s="9" t="s">
        <v>884</v>
      </c>
      <c r="J428" s="19" t="s">
        <v>129</v>
      </c>
      <c r="K428" s="20"/>
    </row>
    <row r="429" spans="1:11" ht="15.75" customHeight="1" x14ac:dyDescent="0.25">
      <c r="A429" s="7">
        <v>29</v>
      </c>
      <c r="B429" s="7" t="s">
        <v>190</v>
      </c>
      <c r="C429" s="7">
        <v>3</v>
      </c>
      <c r="D429" s="21" t="s">
        <v>186</v>
      </c>
      <c r="E429" s="9" t="s">
        <v>885</v>
      </c>
      <c r="F429" s="7" t="s">
        <v>65</v>
      </c>
      <c r="G429" s="7" t="s">
        <v>258</v>
      </c>
      <c r="H429" s="22" t="s">
        <v>73</v>
      </c>
      <c r="I429" s="9" t="s">
        <v>886</v>
      </c>
      <c r="J429" s="19" t="s">
        <v>129</v>
      </c>
      <c r="K429" s="20"/>
    </row>
    <row r="430" spans="1:11" ht="15.75" customHeight="1" x14ac:dyDescent="0.25">
      <c r="A430" s="7">
        <v>29</v>
      </c>
      <c r="B430" s="7" t="s">
        <v>190</v>
      </c>
      <c r="C430" s="7">
        <v>4</v>
      </c>
      <c r="D430" s="21" t="s">
        <v>186</v>
      </c>
      <c r="E430" s="9" t="s">
        <v>887</v>
      </c>
      <c r="F430" s="7" t="s">
        <v>65</v>
      </c>
      <c r="G430" s="7" t="s">
        <v>258</v>
      </c>
      <c r="H430" s="22" t="s">
        <v>73</v>
      </c>
      <c r="I430" s="9" t="s">
        <v>888</v>
      </c>
      <c r="J430" s="19" t="s">
        <v>129</v>
      </c>
      <c r="K430" s="20"/>
    </row>
    <row r="431" spans="1:11" ht="15.75" customHeight="1" x14ac:dyDescent="0.25">
      <c r="A431" s="7">
        <v>29</v>
      </c>
      <c r="B431" s="7" t="s">
        <v>190</v>
      </c>
      <c r="C431" s="7">
        <v>5</v>
      </c>
      <c r="D431" s="21" t="s">
        <v>186</v>
      </c>
      <c r="E431" s="9" t="s">
        <v>889</v>
      </c>
      <c r="F431" s="7" t="s">
        <v>65</v>
      </c>
      <c r="G431" s="7" t="s">
        <v>258</v>
      </c>
      <c r="H431" s="22" t="s">
        <v>73</v>
      </c>
      <c r="I431" s="9" t="s">
        <v>890</v>
      </c>
      <c r="J431" s="19" t="s">
        <v>129</v>
      </c>
      <c r="K431" s="20"/>
    </row>
    <row r="432" spans="1:11" ht="15.75" customHeight="1" x14ac:dyDescent="0.25">
      <c r="A432" s="7">
        <v>29</v>
      </c>
      <c r="B432" s="7" t="s">
        <v>190</v>
      </c>
      <c r="C432" s="7">
        <v>6</v>
      </c>
      <c r="D432" s="21" t="s">
        <v>186</v>
      </c>
      <c r="E432" s="9" t="s">
        <v>891</v>
      </c>
      <c r="F432" s="7" t="s">
        <v>65</v>
      </c>
      <c r="G432" s="7" t="s">
        <v>258</v>
      </c>
      <c r="H432" s="22" t="s">
        <v>73</v>
      </c>
      <c r="I432" s="9" t="s">
        <v>892</v>
      </c>
      <c r="J432" s="19" t="s">
        <v>129</v>
      </c>
      <c r="K432" s="20"/>
    </row>
    <row r="433" spans="1:11" ht="15.75" customHeight="1" x14ac:dyDescent="0.25">
      <c r="A433" s="7">
        <v>29</v>
      </c>
      <c r="B433" s="7" t="s">
        <v>190</v>
      </c>
      <c r="C433" s="7">
        <v>7</v>
      </c>
      <c r="D433" s="21" t="s">
        <v>186</v>
      </c>
      <c r="E433" s="9" t="s">
        <v>893</v>
      </c>
      <c r="F433" s="7" t="s">
        <v>65</v>
      </c>
      <c r="G433" s="7" t="s">
        <v>258</v>
      </c>
      <c r="H433" s="22" t="s">
        <v>73</v>
      </c>
      <c r="I433" s="9" t="s">
        <v>894</v>
      </c>
      <c r="J433" s="19" t="s">
        <v>129</v>
      </c>
      <c r="K433" s="20"/>
    </row>
    <row r="434" spans="1:11" ht="15.75" customHeight="1" x14ac:dyDescent="0.25">
      <c r="A434" s="7">
        <v>29</v>
      </c>
      <c r="B434" s="7" t="s">
        <v>190</v>
      </c>
      <c r="C434" s="7">
        <v>8</v>
      </c>
      <c r="D434" s="21" t="s">
        <v>186</v>
      </c>
      <c r="E434" s="9" t="s">
        <v>895</v>
      </c>
      <c r="F434" s="7" t="s">
        <v>65</v>
      </c>
      <c r="G434" s="7" t="s">
        <v>261</v>
      </c>
      <c r="H434" s="22" t="s">
        <v>73</v>
      </c>
      <c r="I434" s="9" t="s">
        <v>896</v>
      </c>
      <c r="J434" s="19" t="s">
        <v>129</v>
      </c>
      <c r="K434" s="20"/>
    </row>
    <row r="435" spans="1:11" ht="15.75" customHeight="1" x14ac:dyDescent="0.25">
      <c r="A435" s="7">
        <v>29</v>
      </c>
      <c r="B435" s="7" t="s">
        <v>190</v>
      </c>
      <c r="C435" s="7">
        <v>9</v>
      </c>
      <c r="D435" s="21" t="s">
        <v>186</v>
      </c>
      <c r="E435" s="9" t="s">
        <v>897</v>
      </c>
      <c r="F435" s="7" t="s">
        <v>65</v>
      </c>
      <c r="G435" s="7" t="s">
        <v>261</v>
      </c>
      <c r="H435" s="22" t="s">
        <v>73</v>
      </c>
      <c r="I435" s="9" t="s">
        <v>898</v>
      </c>
      <c r="J435" s="19" t="s">
        <v>129</v>
      </c>
      <c r="K435" s="20"/>
    </row>
    <row r="436" spans="1:11" ht="15.75" customHeight="1" x14ac:dyDescent="0.25">
      <c r="A436" s="7">
        <v>29</v>
      </c>
      <c r="B436" s="7" t="s">
        <v>190</v>
      </c>
      <c r="C436" s="7">
        <v>10</v>
      </c>
      <c r="D436" s="21" t="s">
        <v>186</v>
      </c>
      <c r="E436" s="9" t="s">
        <v>899</v>
      </c>
      <c r="F436" s="7" t="s">
        <v>65</v>
      </c>
      <c r="G436" s="7" t="s">
        <v>261</v>
      </c>
      <c r="H436" s="22" t="s">
        <v>73</v>
      </c>
      <c r="I436" s="9" t="s">
        <v>900</v>
      </c>
      <c r="J436" s="19" t="s">
        <v>129</v>
      </c>
      <c r="K436" s="20"/>
    </row>
    <row r="437" spans="1:11" ht="15.75" customHeight="1" x14ac:dyDescent="0.25">
      <c r="A437" s="11">
        <v>30</v>
      </c>
      <c r="B437" s="11" t="s">
        <v>56</v>
      </c>
      <c r="C437" s="11">
        <v>1</v>
      </c>
      <c r="D437" s="12" t="s">
        <v>191</v>
      </c>
      <c r="E437" s="14" t="s">
        <v>901</v>
      </c>
      <c r="F437" s="11" t="s">
        <v>212</v>
      </c>
      <c r="G437" s="11" t="s">
        <v>226</v>
      </c>
      <c r="H437" s="18" t="s">
        <v>73</v>
      </c>
      <c r="I437" s="14" t="s">
        <v>194</v>
      </c>
      <c r="J437" s="19" t="s">
        <v>129</v>
      </c>
      <c r="K437" s="20"/>
    </row>
    <row r="438" spans="1:11" ht="15.75" customHeight="1" x14ac:dyDescent="0.25">
      <c r="A438" s="11">
        <v>30</v>
      </c>
      <c r="B438" s="11" t="s">
        <v>56</v>
      </c>
      <c r="C438" s="11">
        <v>2</v>
      </c>
      <c r="D438" s="12" t="s">
        <v>191</v>
      </c>
      <c r="E438" s="14" t="s">
        <v>902</v>
      </c>
      <c r="F438" s="11" t="s">
        <v>65</v>
      </c>
      <c r="G438" s="11" t="s">
        <v>258</v>
      </c>
      <c r="H438" s="18" t="s">
        <v>73</v>
      </c>
      <c r="I438" s="14" t="s">
        <v>903</v>
      </c>
      <c r="J438" s="19" t="s">
        <v>129</v>
      </c>
      <c r="K438" s="20"/>
    </row>
    <row r="439" spans="1:11" ht="15.75" customHeight="1" x14ac:dyDescent="0.25">
      <c r="A439" s="11">
        <v>30</v>
      </c>
      <c r="B439" s="11" t="s">
        <v>56</v>
      </c>
      <c r="C439" s="11">
        <v>3</v>
      </c>
      <c r="D439" s="12" t="s">
        <v>191</v>
      </c>
      <c r="E439" s="14" t="s">
        <v>904</v>
      </c>
      <c r="F439" s="11" t="s">
        <v>65</v>
      </c>
      <c r="G439" s="11" t="s">
        <v>258</v>
      </c>
      <c r="H439" s="18" t="s">
        <v>73</v>
      </c>
      <c r="I439" s="14" t="s">
        <v>905</v>
      </c>
      <c r="J439" s="19" t="s">
        <v>129</v>
      </c>
      <c r="K439" s="20"/>
    </row>
    <row r="440" spans="1:11" ht="15.75" customHeight="1" x14ac:dyDescent="0.25">
      <c r="A440" s="11">
        <v>30</v>
      </c>
      <c r="B440" s="11" t="s">
        <v>56</v>
      </c>
      <c r="C440" s="11">
        <v>4</v>
      </c>
      <c r="D440" s="12" t="s">
        <v>191</v>
      </c>
      <c r="E440" s="14" t="s">
        <v>906</v>
      </c>
      <c r="F440" s="11" t="s">
        <v>65</v>
      </c>
      <c r="G440" s="11" t="s">
        <v>261</v>
      </c>
      <c r="H440" s="18" t="s">
        <v>73</v>
      </c>
      <c r="I440" s="14" t="s">
        <v>907</v>
      </c>
      <c r="J440" s="19" t="s">
        <v>129</v>
      </c>
      <c r="K440" s="20"/>
    </row>
    <row r="441" spans="1:11" ht="15.75" customHeight="1" x14ac:dyDescent="0.25">
      <c r="A441" s="11">
        <v>30</v>
      </c>
      <c r="B441" s="11" t="s">
        <v>56</v>
      </c>
      <c r="C441" s="11">
        <v>5</v>
      </c>
      <c r="D441" s="12" t="s">
        <v>191</v>
      </c>
      <c r="E441" s="14" t="s">
        <v>908</v>
      </c>
      <c r="F441" s="11" t="s">
        <v>65</v>
      </c>
      <c r="G441" s="11" t="s">
        <v>261</v>
      </c>
      <c r="H441" s="18" t="s">
        <v>73</v>
      </c>
      <c r="I441" s="14" t="s">
        <v>909</v>
      </c>
      <c r="J441" s="19" t="s">
        <v>129</v>
      </c>
      <c r="K441" s="20"/>
    </row>
    <row r="442" spans="1:11" ht="15.75" customHeight="1" x14ac:dyDescent="0.25">
      <c r="A442" s="7">
        <v>30</v>
      </c>
      <c r="B442" s="7" t="s">
        <v>190</v>
      </c>
      <c r="C442" s="7">
        <v>1</v>
      </c>
      <c r="D442" s="21" t="s">
        <v>191</v>
      </c>
      <c r="E442" s="9" t="s">
        <v>910</v>
      </c>
      <c r="F442" s="7" t="s">
        <v>65</v>
      </c>
      <c r="G442" s="7" t="s">
        <v>261</v>
      </c>
      <c r="H442" s="22" t="s">
        <v>73</v>
      </c>
      <c r="I442" s="9" t="s">
        <v>911</v>
      </c>
      <c r="J442" s="19" t="s">
        <v>129</v>
      </c>
      <c r="K442" s="20"/>
    </row>
    <row r="443" spans="1:11" ht="15.75" customHeight="1" x14ac:dyDescent="0.25">
      <c r="A443" s="7">
        <v>30</v>
      </c>
      <c r="B443" s="7" t="s">
        <v>190</v>
      </c>
      <c r="C443" s="7">
        <v>2</v>
      </c>
      <c r="D443" s="21" t="s">
        <v>191</v>
      </c>
      <c r="E443" s="9" t="s">
        <v>912</v>
      </c>
      <c r="F443" s="7" t="s">
        <v>65</v>
      </c>
      <c r="G443" s="7" t="s">
        <v>266</v>
      </c>
      <c r="H443" s="22" t="s">
        <v>73</v>
      </c>
      <c r="I443" s="9" t="s">
        <v>913</v>
      </c>
      <c r="J443" s="19" t="s">
        <v>129</v>
      </c>
      <c r="K443" s="20"/>
    </row>
    <row r="444" spans="1:11" ht="15.75" customHeight="1" x14ac:dyDescent="0.25">
      <c r="A444" s="7">
        <v>30</v>
      </c>
      <c r="B444" s="7" t="s">
        <v>190</v>
      </c>
      <c r="C444" s="7">
        <v>3</v>
      </c>
      <c r="D444" s="21" t="s">
        <v>191</v>
      </c>
      <c r="E444" s="9" t="s">
        <v>914</v>
      </c>
      <c r="F444" s="7" t="s">
        <v>65</v>
      </c>
      <c r="G444" s="7" t="s">
        <v>266</v>
      </c>
      <c r="H444" s="22" t="s">
        <v>73</v>
      </c>
      <c r="I444" s="9" t="s">
        <v>915</v>
      </c>
      <c r="J444" s="19" t="s">
        <v>129</v>
      </c>
      <c r="K444" s="20"/>
    </row>
    <row r="445" spans="1:11" ht="15.75" customHeight="1" x14ac:dyDescent="0.25">
      <c r="A445" s="7">
        <v>30</v>
      </c>
      <c r="B445" s="7" t="s">
        <v>190</v>
      </c>
      <c r="C445" s="7">
        <v>4</v>
      </c>
      <c r="D445" s="21" t="s">
        <v>191</v>
      </c>
      <c r="E445" s="9" t="s">
        <v>916</v>
      </c>
      <c r="F445" s="7" t="s">
        <v>65</v>
      </c>
      <c r="G445" s="7" t="s">
        <v>266</v>
      </c>
      <c r="H445" s="22" t="s">
        <v>73</v>
      </c>
      <c r="I445" s="9" t="s">
        <v>917</v>
      </c>
      <c r="J445" s="19" t="s">
        <v>129</v>
      </c>
      <c r="K445" s="20"/>
    </row>
    <row r="446" spans="1:11" ht="15.75" customHeight="1" x14ac:dyDescent="0.25">
      <c r="A446" s="7">
        <v>30</v>
      </c>
      <c r="B446" s="7" t="s">
        <v>190</v>
      </c>
      <c r="C446" s="7">
        <v>5</v>
      </c>
      <c r="D446" s="21" t="s">
        <v>191</v>
      </c>
      <c r="E446" s="9" t="s">
        <v>918</v>
      </c>
      <c r="F446" s="7" t="s">
        <v>65</v>
      </c>
      <c r="G446" s="7" t="s">
        <v>266</v>
      </c>
      <c r="H446" s="22" t="s">
        <v>73</v>
      </c>
      <c r="I446" s="9" t="s">
        <v>919</v>
      </c>
      <c r="J446" s="19" t="s">
        <v>129</v>
      </c>
      <c r="K446" s="20"/>
    </row>
    <row r="447" spans="1:11" ht="15.75" customHeight="1" x14ac:dyDescent="0.25">
      <c r="A447" s="7">
        <v>30</v>
      </c>
      <c r="B447" s="7" t="s">
        <v>190</v>
      </c>
      <c r="C447" s="7">
        <v>6</v>
      </c>
      <c r="D447" s="21" t="s">
        <v>191</v>
      </c>
      <c r="E447" s="9" t="s">
        <v>920</v>
      </c>
      <c r="F447" s="7" t="s">
        <v>65</v>
      </c>
      <c r="G447" s="7" t="s">
        <v>266</v>
      </c>
      <c r="H447" s="22" t="s">
        <v>73</v>
      </c>
      <c r="I447" s="9" t="s">
        <v>921</v>
      </c>
      <c r="J447" s="19" t="s">
        <v>129</v>
      </c>
      <c r="K447" s="20"/>
    </row>
    <row r="448" spans="1:11" ht="15.75" customHeight="1" x14ac:dyDescent="0.25">
      <c r="A448" s="7">
        <v>30</v>
      </c>
      <c r="B448" s="7" t="s">
        <v>190</v>
      </c>
      <c r="C448" s="7">
        <v>7</v>
      </c>
      <c r="D448" s="21" t="s">
        <v>191</v>
      </c>
      <c r="E448" s="9" t="s">
        <v>922</v>
      </c>
      <c r="F448" s="7" t="s">
        <v>65</v>
      </c>
      <c r="G448" s="7" t="s">
        <v>266</v>
      </c>
      <c r="H448" s="22" t="s">
        <v>73</v>
      </c>
      <c r="I448" s="9" t="s">
        <v>923</v>
      </c>
      <c r="J448" s="19" t="s">
        <v>129</v>
      </c>
      <c r="K448" s="20"/>
    </row>
    <row r="449" spans="1:11" ht="15.75" customHeight="1" x14ac:dyDescent="0.25">
      <c r="A449" s="7">
        <v>30</v>
      </c>
      <c r="B449" s="7" t="s">
        <v>190</v>
      </c>
      <c r="C449" s="7">
        <v>8</v>
      </c>
      <c r="D449" s="21" t="s">
        <v>191</v>
      </c>
      <c r="E449" s="9" t="s">
        <v>924</v>
      </c>
      <c r="F449" s="7" t="s">
        <v>65</v>
      </c>
      <c r="G449" s="7" t="s">
        <v>266</v>
      </c>
      <c r="H449" s="22" t="s">
        <v>73</v>
      </c>
      <c r="I449" s="9" t="s">
        <v>925</v>
      </c>
      <c r="J449" s="19" t="s">
        <v>129</v>
      </c>
      <c r="K449" s="20"/>
    </row>
    <row r="450" spans="1:11" ht="15.75" customHeight="1" x14ac:dyDescent="0.25">
      <c r="A450" s="7">
        <v>30</v>
      </c>
      <c r="B450" s="7" t="s">
        <v>190</v>
      </c>
      <c r="C450" s="7">
        <v>9</v>
      </c>
      <c r="D450" s="21" t="s">
        <v>191</v>
      </c>
      <c r="E450" s="9" t="s">
        <v>926</v>
      </c>
      <c r="F450" s="7" t="s">
        <v>65</v>
      </c>
      <c r="G450" s="7" t="s">
        <v>269</v>
      </c>
      <c r="H450" s="22" t="s">
        <v>73</v>
      </c>
      <c r="I450" s="9" t="s">
        <v>927</v>
      </c>
      <c r="J450" s="19" t="s">
        <v>129</v>
      </c>
      <c r="K450" s="20"/>
    </row>
    <row r="451" spans="1:11" ht="15.75" customHeight="1" x14ac:dyDescent="0.25">
      <c r="A451" s="7">
        <v>30</v>
      </c>
      <c r="B451" s="7" t="s">
        <v>190</v>
      </c>
      <c r="C451" s="7">
        <v>10</v>
      </c>
      <c r="D451" s="21" t="s">
        <v>191</v>
      </c>
      <c r="E451" s="9" t="s">
        <v>928</v>
      </c>
      <c r="F451" s="7" t="s">
        <v>65</v>
      </c>
      <c r="G451" s="7" t="s">
        <v>269</v>
      </c>
      <c r="H451" s="22" t="s">
        <v>73</v>
      </c>
      <c r="I451" s="9" t="s">
        <v>929</v>
      </c>
      <c r="J451" s="19" t="s">
        <v>129</v>
      </c>
      <c r="K451" s="20"/>
    </row>
    <row r="452" spans="1:11" ht="15.75" customHeight="1" x14ac:dyDescent="0.25">
      <c r="A452" s="11">
        <v>31</v>
      </c>
      <c r="B452" s="11" t="s">
        <v>56</v>
      </c>
      <c r="C452" s="11">
        <v>1</v>
      </c>
      <c r="D452" s="12" t="s">
        <v>196</v>
      </c>
      <c r="E452" s="14" t="s">
        <v>930</v>
      </c>
      <c r="F452" s="11" t="s">
        <v>65</v>
      </c>
      <c r="G452" s="11" t="s">
        <v>236</v>
      </c>
      <c r="H452" s="18" t="s">
        <v>73</v>
      </c>
      <c r="I452" s="14" t="s">
        <v>931</v>
      </c>
      <c r="J452" s="19" t="s">
        <v>129</v>
      </c>
      <c r="K452" s="20"/>
    </row>
    <row r="453" spans="1:11" ht="15.75" customHeight="1" x14ac:dyDescent="0.25">
      <c r="A453" s="11">
        <v>31</v>
      </c>
      <c r="B453" s="11" t="s">
        <v>56</v>
      </c>
      <c r="C453" s="11">
        <v>2</v>
      </c>
      <c r="D453" s="12" t="s">
        <v>196</v>
      </c>
      <c r="E453" s="14" t="s">
        <v>932</v>
      </c>
      <c r="F453" s="11" t="s">
        <v>65</v>
      </c>
      <c r="G453" s="11" t="s">
        <v>236</v>
      </c>
      <c r="H453" s="18" t="s">
        <v>73</v>
      </c>
      <c r="I453" s="14" t="s">
        <v>933</v>
      </c>
      <c r="J453" s="19" t="s">
        <v>129</v>
      </c>
      <c r="K453" s="20"/>
    </row>
    <row r="454" spans="1:11" ht="15.75" customHeight="1" x14ac:dyDescent="0.25">
      <c r="A454" s="11">
        <v>31</v>
      </c>
      <c r="B454" s="11" t="s">
        <v>56</v>
      </c>
      <c r="C454" s="11">
        <v>3</v>
      </c>
      <c r="D454" s="12" t="s">
        <v>196</v>
      </c>
      <c r="E454" s="14" t="s">
        <v>934</v>
      </c>
      <c r="F454" s="11" t="s">
        <v>65</v>
      </c>
      <c r="G454" s="11" t="s">
        <v>236</v>
      </c>
      <c r="H454" s="18" t="s">
        <v>73</v>
      </c>
      <c r="I454" s="14" t="s">
        <v>933</v>
      </c>
      <c r="J454" s="19" t="s">
        <v>129</v>
      </c>
      <c r="K454" s="20"/>
    </row>
    <row r="455" spans="1:11" ht="15.75" customHeight="1" x14ac:dyDescent="0.25">
      <c r="A455" s="11">
        <v>31</v>
      </c>
      <c r="B455" s="11" t="s">
        <v>56</v>
      </c>
      <c r="C455" s="11">
        <v>4</v>
      </c>
      <c r="D455" s="12" t="s">
        <v>196</v>
      </c>
      <c r="E455" s="14" t="s">
        <v>935</v>
      </c>
      <c r="F455" s="11" t="s">
        <v>65</v>
      </c>
      <c r="G455" s="11" t="s">
        <v>236</v>
      </c>
      <c r="H455" s="18" t="s">
        <v>73</v>
      </c>
      <c r="I455" s="14" t="s">
        <v>936</v>
      </c>
      <c r="J455" s="19" t="s">
        <v>129</v>
      </c>
      <c r="K455" s="20"/>
    </row>
    <row r="456" spans="1:11" ht="15.75" customHeight="1" x14ac:dyDescent="0.25">
      <c r="A456" s="11">
        <v>31</v>
      </c>
      <c r="B456" s="11" t="s">
        <v>56</v>
      </c>
      <c r="C456" s="11">
        <v>5</v>
      </c>
      <c r="D456" s="12" t="s">
        <v>196</v>
      </c>
      <c r="E456" s="14" t="s">
        <v>937</v>
      </c>
      <c r="F456" s="11" t="s">
        <v>65</v>
      </c>
      <c r="G456" s="11" t="s">
        <v>236</v>
      </c>
      <c r="H456" s="18" t="s">
        <v>73</v>
      </c>
      <c r="I456" s="14" t="s">
        <v>938</v>
      </c>
      <c r="J456" s="19" t="s">
        <v>129</v>
      </c>
      <c r="K456" s="20"/>
    </row>
    <row r="457" spans="1:11" ht="15.75" customHeight="1" x14ac:dyDescent="0.25">
      <c r="A457" s="7">
        <v>31</v>
      </c>
      <c r="B457" s="7" t="s">
        <v>190</v>
      </c>
      <c r="C457" s="7">
        <v>1</v>
      </c>
      <c r="D457" s="21" t="s">
        <v>196</v>
      </c>
      <c r="E457" s="9" t="s">
        <v>939</v>
      </c>
      <c r="F457" s="7" t="s">
        <v>65</v>
      </c>
      <c r="G457" s="7" t="s">
        <v>236</v>
      </c>
      <c r="H457" s="22" t="s">
        <v>73</v>
      </c>
      <c r="I457" s="9" t="s">
        <v>940</v>
      </c>
      <c r="J457" s="19" t="s">
        <v>129</v>
      </c>
      <c r="K457" s="20"/>
    </row>
    <row r="458" spans="1:11" ht="15.75" customHeight="1" x14ac:dyDescent="0.25">
      <c r="A458" s="7">
        <v>31</v>
      </c>
      <c r="B458" s="7" t="s">
        <v>190</v>
      </c>
      <c r="C458" s="7">
        <v>2</v>
      </c>
      <c r="D458" s="21" t="s">
        <v>196</v>
      </c>
      <c r="E458" s="9" t="s">
        <v>941</v>
      </c>
      <c r="F458" s="7" t="s">
        <v>65</v>
      </c>
      <c r="G458" s="7" t="s">
        <v>244</v>
      </c>
      <c r="H458" s="22" t="s">
        <v>73</v>
      </c>
      <c r="I458" s="9" t="s">
        <v>942</v>
      </c>
      <c r="J458" s="19" t="s">
        <v>129</v>
      </c>
      <c r="K458" s="20"/>
    </row>
    <row r="459" spans="1:11" ht="15.75" customHeight="1" x14ac:dyDescent="0.25">
      <c r="A459" s="7">
        <v>31</v>
      </c>
      <c r="B459" s="7" t="s">
        <v>190</v>
      </c>
      <c r="C459" s="7">
        <v>3</v>
      </c>
      <c r="D459" s="21" t="s">
        <v>196</v>
      </c>
      <c r="E459" s="9" t="s">
        <v>943</v>
      </c>
      <c r="F459" s="7" t="s">
        <v>65</v>
      </c>
      <c r="G459" s="7" t="s">
        <v>244</v>
      </c>
      <c r="H459" s="22" t="s">
        <v>73</v>
      </c>
      <c r="I459" s="9" t="s">
        <v>944</v>
      </c>
      <c r="J459" s="19" t="s">
        <v>129</v>
      </c>
      <c r="K459" s="20"/>
    </row>
    <row r="460" spans="1:11" ht="15.75" customHeight="1" x14ac:dyDescent="0.25">
      <c r="A460" s="7">
        <v>31</v>
      </c>
      <c r="B460" s="7" t="s">
        <v>190</v>
      </c>
      <c r="C460" s="7">
        <v>4</v>
      </c>
      <c r="D460" s="21" t="s">
        <v>196</v>
      </c>
      <c r="E460" s="9" t="s">
        <v>945</v>
      </c>
      <c r="F460" s="7" t="s">
        <v>65</v>
      </c>
      <c r="G460" s="7" t="s">
        <v>244</v>
      </c>
      <c r="H460" s="22" t="s">
        <v>73</v>
      </c>
      <c r="I460" s="9" t="s">
        <v>946</v>
      </c>
      <c r="J460" s="19" t="s">
        <v>129</v>
      </c>
      <c r="K460" s="20"/>
    </row>
    <row r="461" spans="1:11" ht="15.75" customHeight="1" x14ac:dyDescent="0.25">
      <c r="A461" s="7">
        <v>31</v>
      </c>
      <c r="B461" s="7" t="s">
        <v>190</v>
      </c>
      <c r="C461" s="7">
        <v>5</v>
      </c>
      <c r="D461" s="21" t="s">
        <v>196</v>
      </c>
      <c r="E461" s="9" t="s">
        <v>947</v>
      </c>
      <c r="F461" s="7" t="s">
        <v>65</v>
      </c>
      <c r="G461" s="7" t="s">
        <v>244</v>
      </c>
      <c r="H461" s="22" t="s">
        <v>73</v>
      </c>
      <c r="I461" s="9" t="s">
        <v>933</v>
      </c>
      <c r="J461" s="19" t="s">
        <v>129</v>
      </c>
      <c r="K461" s="20"/>
    </row>
    <row r="462" spans="1:11" ht="15.75" customHeight="1" x14ac:dyDescent="0.25">
      <c r="A462" s="7">
        <v>31</v>
      </c>
      <c r="B462" s="7" t="s">
        <v>190</v>
      </c>
      <c r="C462" s="7">
        <v>6</v>
      </c>
      <c r="D462" s="21" t="s">
        <v>196</v>
      </c>
      <c r="E462" s="9" t="s">
        <v>948</v>
      </c>
      <c r="F462" s="7" t="s">
        <v>65</v>
      </c>
      <c r="G462" s="7" t="s">
        <v>244</v>
      </c>
      <c r="H462" s="22" t="s">
        <v>73</v>
      </c>
      <c r="I462" s="9" t="s">
        <v>949</v>
      </c>
      <c r="J462" s="19" t="s">
        <v>129</v>
      </c>
      <c r="K462" s="20"/>
    </row>
    <row r="463" spans="1:11" ht="15.75" customHeight="1" x14ac:dyDescent="0.25">
      <c r="A463" s="7">
        <v>31</v>
      </c>
      <c r="B463" s="7" t="s">
        <v>190</v>
      </c>
      <c r="C463" s="7">
        <v>7</v>
      </c>
      <c r="D463" s="21" t="s">
        <v>196</v>
      </c>
      <c r="E463" s="9" t="s">
        <v>950</v>
      </c>
      <c r="F463" s="7" t="s">
        <v>212</v>
      </c>
      <c r="G463" s="7" t="s">
        <v>226</v>
      </c>
      <c r="H463" s="22" t="s">
        <v>73</v>
      </c>
      <c r="I463" s="9" t="s">
        <v>200</v>
      </c>
      <c r="J463" s="19" t="s">
        <v>129</v>
      </c>
      <c r="K463" s="20"/>
    </row>
    <row r="464" spans="1:11" ht="15.75" customHeight="1" x14ac:dyDescent="0.25">
      <c r="A464" s="7">
        <v>31</v>
      </c>
      <c r="B464" s="7" t="s">
        <v>190</v>
      </c>
      <c r="C464" s="7">
        <v>8</v>
      </c>
      <c r="D464" s="21" t="s">
        <v>196</v>
      </c>
      <c r="E464" s="9" t="s">
        <v>951</v>
      </c>
      <c r="F464" s="7" t="s">
        <v>212</v>
      </c>
      <c r="G464" s="7" t="s">
        <v>226</v>
      </c>
      <c r="H464" s="22" t="s">
        <v>73</v>
      </c>
      <c r="I464" s="9" t="s">
        <v>200</v>
      </c>
      <c r="J464" s="19" t="s">
        <v>129</v>
      </c>
      <c r="K464" s="20"/>
    </row>
    <row r="465" spans="1:11" ht="15.75" customHeight="1" x14ac:dyDescent="0.25">
      <c r="A465" s="7">
        <v>31</v>
      </c>
      <c r="B465" s="7" t="s">
        <v>190</v>
      </c>
      <c r="C465" s="7">
        <v>9</v>
      </c>
      <c r="D465" s="21" t="s">
        <v>196</v>
      </c>
      <c r="E465" s="9" t="s">
        <v>952</v>
      </c>
      <c r="F465" s="7" t="s">
        <v>212</v>
      </c>
      <c r="G465" s="7" t="s">
        <v>226</v>
      </c>
      <c r="H465" s="22" t="s">
        <v>73</v>
      </c>
      <c r="I465" s="9" t="s">
        <v>200</v>
      </c>
      <c r="J465" s="19" t="s">
        <v>129</v>
      </c>
      <c r="K465" s="20"/>
    </row>
    <row r="466" spans="1:11" ht="15.75" customHeight="1" x14ac:dyDescent="0.25">
      <c r="A466" s="7">
        <v>31</v>
      </c>
      <c r="B466" s="7" t="s">
        <v>190</v>
      </c>
      <c r="C466" s="7">
        <v>10</v>
      </c>
      <c r="D466" s="21" t="s">
        <v>196</v>
      </c>
      <c r="E466" s="9" t="s">
        <v>953</v>
      </c>
      <c r="F466" s="7" t="s">
        <v>212</v>
      </c>
      <c r="G466" s="7" t="s">
        <v>226</v>
      </c>
      <c r="H466" s="22" t="s">
        <v>73</v>
      </c>
      <c r="I466" s="9" t="s">
        <v>200</v>
      </c>
      <c r="J466" s="19" t="s">
        <v>129</v>
      </c>
      <c r="K466" s="20"/>
    </row>
    <row r="467" spans="1:11" ht="15.75" customHeight="1" x14ac:dyDescent="0.25">
      <c r="A467" s="11">
        <v>32</v>
      </c>
      <c r="B467" s="11" t="s">
        <v>56</v>
      </c>
      <c r="C467" s="11">
        <v>1</v>
      </c>
      <c r="D467" s="12" t="s">
        <v>201</v>
      </c>
      <c r="E467" s="14" t="s">
        <v>954</v>
      </c>
      <c r="F467" s="11" t="s">
        <v>212</v>
      </c>
      <c r="G467" s="11" t="s">
        <v>226</v>
      </c>
      <c r="H467" s="18" t="s">
        <v>73</v>
      </c>
      <c r="I467" s="14" t="s">
        <v>204</v>
      </c>
      <c r="J467" s="19" t="s">
        <v>129</v>
      </c>
      <c r="K467" s="20"/>
    </row>
    <row r="468" spans="1:11" ht="15.75" customHeight="1" x14ac:dyDescent="0.25">
      <c r="A468" s="11">
        <v>32</v>
      </c>
      <c r="B468" s="11" t="s">
        <v>56</v>
      </c>
      <c r="C468" s="11">
        <v>2</v>
      </c>
      <c r="D468" s="12" t="s">
        <v>201</v>
      </c>
      <c r="E468" s="14" t="s">
        <v>955</v>
      </c>
      <c r="F468" s="11" t="s">
        <v>212</v>
      </c>
      <c r="G468" s="11" t="s">
        <v>226</v>
      </c>
      <c r="H468" s="18" t="s">
        <v>73</v>
      </c>
      <c r="I468" s="14" t="s">
        <v>204</v>
      </c>
      <c r="J468" s="19" t="s">
        <v>129</v>
      </c>
      <c r="K468" s="20"/>
    </row>
    <row r="469" spans="1:11" ht="15.75" customHeight="1" x14ac:dyDescent="0.25">
      <c r="A469" s="11">
        <v>32</v>
      </c>
      <c r="B469" s="11" t="s">
        <v>56</v>
      </c>
      <c r="C469" s="11">
        <v>3</v>
      </c>
      <c r="D469" s="12" t="s">
        <v>201</v>
      </c>
      <c r="E469" s="14" t="s">
        <v>956</v>
      </c>
      <c r="F469" s="11" t="s">
        <v>212</v>
      </c>
      <c r="G469" s="11" t="s">
        <v>226</v>
      </c>
      <c r="H469" s="18" t="s">
        <v>73</v>
      </c>
      <c r="I469" s="14" t="s">
        <v>204</v>
      </c>
      <c r="J469" s="19" t="s">
        <v>129</v>
      </c>
      <c r="K469" s="20"/>
    </row>
    <row r="470" spans="1:11" ht="15.75" customHeight="1" x14ac:dyDescent="0.25">
      <c r="A470" s="11">
        <v>32</v>
      </c>
      <c r="B470" s="11" t="s">
        <v>56</v>
      </c>
      <c r="C470" s="11">
        <v>4</v>
      </c>
      <c r="D470" s="12" t="s">
        <v>201</v>
      </c>
      <c r="E470" s="14" t="s">
        <v>957</v>
      </c>
      <c r="F470" s="11" t="s">
        <v>212</v>
      </c>
      <c r="G470" s="11" t="s">
        <v>226</v>
      </c>
      <c r="H470" s="18" t="s">
        <v>73</v>
      </c>
      <c r="I470" s="14" t="s">
        <v>204</v>
      </c>
      <c r="J470" s="19" t="s">
        <v>129</v>
      </c>
      <c r="K470" s="20"/>
    </row>
    <row r="471" spans="1:11" ht="15.75" customHeight="1" x14ac:dyDescent="0.25">
      <c r="A471" s="11">
        <v>32</v>
      </c>
      <c r="B471" s="11" t="s">
        <v>56</v>
      </c>
      <c r="C471" s="11">
        <v>5</v>
      </c>
      <c r="D471" s="12" t="s">
        <v>201</v>
      </c>
      <c r="E471" s="14" t="s">
        <v>958</v>
      </c>
      <c r="F471" s="11" t="s">
        <v>212</v>
      </c>
      <c r="G471" s="11" t="s">
        <v>226</v>
      </c>
      <c r="H471" s="18" t="s">
        <v>73</v>
      </c>
      <c r="I471" s="14" t="s">
        <v>204</v>
      </c>
      <c r="J471" s="19" t="s">
        <v>129</v>
      </c>
      <c r="K471" s="20"/>
    </row>
    <row r="472" spans="1:11" ht="15.75" customHeight="1" x14ac:dyDescent="0.25">
      <c r="A472" s="7">
        <v>32</v>
      </c>
      <c r="B472" s="7" t="s">
        <v>190</v>
      </c>
      <c r="C472" s="7">
        <v>1</v>
      </c>
      <c r="D472" s="21" t="s">
        <v>201</v>
      </c>
      <c r="E472" s="9" t="s">
        <v>959</v>
      </c>
      <c r="F472" s="7" t="s">
        <v>65</v>
      </c>
      <c r="G472" s="7" t="s">
        <v>258</v>
      </c>
      <c r="H472" s="22" t="s">
        <v>73</v>
      </c>
      <c r="I472" s="9" t="s">
        <v>960</v>
      </c>
      <c r="J472" s="19" t="s">
        <v>129</v>
      </c>
      <c r="K472" s="20"/>
    </row>
    <row r="473" spans="1:11" ht="15.75" customHeight="1" x14ac:dyDescent="0.25">
      <c r="A473" s="7">
        <v>32</v>
      </c>
      <c r="B473" s="7" t="s">
        <v>190</v>
      </c>
      <c r="C473" s="7">
        <v>2</v>
      </c>
      <c r="D473" s="21" t="s">
        <v>201</v>
      </c>
      <c r="E473" s="9" t="s">
        <v>961</v>
      </c>
      <c r="F473" s="7" t="s">
        <v>65</v>
      </c>
      <c r="G473" s="7" t="s">
        <v>258</v>
      </c>
      <c r="H473" s="22" t="s">
        <v>73</v>
      </c>
      <c r="I473" s="9" t="s">
        <v>962</v>
      </c>
      <c r="J473" s="19" t="s">
        <v>129</v>
      </c>
      <c r="K473" s="20"/>
    </row>
    <row r="474" spans="1:11" ht="15.75" customHeight="1" x14ac:dyDescent="0.25">
      <c r="A474" s="7">
        <v>32</v>
      </c>
      <c r="B474" s="7" t="s">
        <v>190</v>
      </c>
      <c r="C474" s="7">
        <v>3</v>
      </c>
      <c r="D474" s="21" t="s">
        <v>201</v>
      </c>
      <c r="E474" s="9" t="s">
        <v>963</v>
      </c>
      <c r="F474" s="7" t="s">
        <v>65</v>
      </c>
      <c r="G474" s="7" t="s">
        <v>258</v>
      </c>
      <c r="H474" s="22" t="s">
        <v>73</v>
      </c>
      <c r="I474" s="9" t="s">
        <v>964</v>
      </c>
      <c r="J474" s="19" t="s">
        <v>129</v>
      </c>
      <c r="K474" s="20"/>
    </row>
    <row r="475" spans="1:11" ht="15.75" customHeight="1" x14ac:dyDescent="0.25">
      <c r="A475" s="7">
        <v>32</v>
      </c>
      <c r="B475" s="7" t="s">
        <v>190</v>
      </c>
      <c r="C475" s="7">
        <v>4</v>
      </c>
      <c r="D475" s="21" t="s">
        <v>201</v>
      </c>
      <c r="E475" s="9" t="s">
        <v>965</v>
      </c>
      <c r="F475" s="7" t="s">
        <v>65</v>
      </c>
      <c r="G475" s="7" t="s">
        <v>258</v>
      </c>
      <c r="H475" s="22" t="s">
        <v>73</v>
      </c>
      <c r="I475" s="9" t="s">
        <v>966</v>
      </c>
      <c r="J475" s="19" t="s">
        <v>129</v>
      </c>
      <c r="K475" s="20"/>
    </row>
    <row r="476" spans="1:11" ht="15.75" customHeight="1" x14ac:dyDescent="0.25">
      <c r="A476" s="7">
        <v>32</v>
      </c>
      <c r="B476" s="7" t="s">
        <v>190</v>
      </c>
      <c r="C476" s="7">
        <v>5</v>
      </c>
      <c r="D476" s="21" t="s">
        <v>201</v>
      </c>
      <c r="E476" s="9" t="s">
        <v>967</v>
      </c>
      <c r="F476" s="7" t="s">
        <v>65</v>
      </c>
      <c r="G476" s="7" t="s">
        <v>258</v>
      </c>
      <c r="H476" s="22" t="s">
        <v>73</v>
      </c>
      <c r="I476" s="9" t="s">
        <v>968</v>
      </c>
      <c r="J476" s="19" t="s">
        <v>129</v>
      </c>
      <c r="K476" s="20"/>
    </row>
    <row r="477" spans="1:11" ht="15.75" customHeight="1" x14ac:dyDescent="0.25">
      <c r="A477" s="7">
        <v>32</v>
      </c>
      <c r="B477" s="7" t="s">
        <v>190</v>
      </c>
      <c r="C477" s="7">
        <v>6</v>
      </c>
      <c r="D477" s="21" t="s">
        <v>201</v>
      </c>
      <c r="E477" s="9" t="s">
        <v>969</v>
      </c>
      <c r="F477" s="7" t="s">
        <v>65</v>
      </c>
      <c r="G477" s="7" t="s">
        <v>258</v>
      </c>
      <c r="H477" s="22" t="s">
        <v>73</v>
      </c>
      <c r="I477" s="9" t="s">
        <v>970</v>
      </c>
      <c r="J477" s="19" t="s">
        <v>129</v>
      </c>
      <c r="K477" s="20"/>
    </row>
    <row r="478" spans="1:11" ht="15.75" customHeight="1" x14ac:dyDescent="0.25">
      <c r="A478" s="7">
        <v>32</v>
      </c>
      <c r="B478" s="7" t="s">
        <v>190</v>
      </c>
      <c r="C478" s="7">
        <v>7</v>
      </c>
      <c r="D478" s="21" t="s">
        <v>201</v>
      </c>
      <c r="E478" s="9" t="s">
        <v>971</v>
      </c>
      <c r="F478" s="7" t="s">
        <v>65</v>
      </c>
      <c r="G478" s="7" t="s">
        <v>258</v>
      </c>
      <c r="H478" s="22" t="s">
        <v>73</v>
      </c>
      <c r="I478" s="9" t="s">
        <v>972</v>
      </c>
      <c r="J478" s="19" t="s">
        <v>129</v>
      </c>
      <c r="K478" s="20"/>
    </row>
    <row r="479" spans="1:11" ht="15.75" customHeight="1" x14ac:dyDescent="0.25">
      <c r="A479" s="7">
        <v>32</v>
      </c>
      <c r="B479" s="7" t="s">
        <v>190</v>
      </c>
      <c r="C479" s="7">
        <v>8</v>
      </c>
      <c r="D479" s="21" t="s">
        <v>201</v>
      </c>
      <c r="E479" s="9" t="s">
        <v>973</v>
      </c>
      <c r="F479" s="7" t="s">
        <v>65</v>
      </c>
      <c r="G479" s="7" t="s">
        <v>261</v>
      </c>
      <c r="H479" s="22" t="s">
        <v>73</v>
      </c>
      <c r="I479" s="9" t="s">
        <v>966</v>
      </c>
      <c r="J479" s="19" t="s">
        <v>129</v>
      </c>
      <c r="K479" s="20"/>
    </row>
    <row r="480" spans="1:11" ht="15.75" customHeight="1" x14ac:dyDescent="0.25">
      <c r="A480" s="7">
        <v>32</v>
      </c>
      <c r="B480" s="7" t="s">
        <v>190</v>
      </c>
      <c r="C480" s="7">
        <v>9</v>
      </c>
      <c r="D480" s="21" t="s">
        <v>201</v>
      </c>
      <c r="E480" s="9" t="s">
        <v>974</v>
      </c>
      <c r="F480" s="7" t="s">
        <v>65</v>
      </c>
      <c r="G480" s="7" t="s">
        <v>261</v>
      </c>
      <c r="H480" s="22" t="s">
        <v>73</v>
      </c>
      <c r="I480" s="9" t="s">
        <v>975</v>
      </c>
      <c r="J480" s="19" t="s">
        <v>129</v>
      </c>
      <c r="K480" s="20"/>
    </row>
    <row r="481" spans="1:11" ht="15.75" customHeight="1" x14ac:dyDescent="0.25">
      <c r="A481" s="7">
        <v>32</v>
      </c>
      <c r="B481" s="7" t="s">
        <v>190</v>
      </c>
      <c r="C481" s="7">
        <v>10</v>
      </c>
      <c r="D481" s="21" t="s">
        <v>201</v>
      </c>
      <c r="E481" s="9" t="s">
        <v>976</v>
      </c>
      <c r="F481" s="7" t="s">
        <v>65</v>
      </c>
      <c r="G481" s="7" t="s">
        <v>261</v>
      </c>
      <c r="H481" s="22" t="s">
        <v>73</v>
      </c>
      <c r="I481" s="9" t="s">
        <v>977</v>
      </c>
      <c r="J481" s="19" t="s">
        <v>129</v>
      </c>
      <c r="K481" s="20"/>
    </row>
    <row r="482" spans="1:11" ht="15.75" customHeight="1" x14ac:dyDescent="0.25"/>
    <row r="483" spans="1:11" ht="15.75" customHeight="1" x14ac:dyDescent="0.25"/>
    <row r="484" spans="1:11" ht="15.75" customHeight="1" x14ac:dyDescent="0.25"/>
    <row r="485" spans="1:11" ht="15.75" customHeight="1" x14ac:dyDescent="0.25"/>
    <row r="486" spans="1:11" ht="15.75" customHeight="1" x14ac:dyDescent="0.25"/>
    <row r="487" spans="1:11" ht="15.75" customHeight="1" x14ac:dyDescent="0.25"/>
    <row r="488" spans="1:11" ht="15.75" customHeight="1" x14ac:dyDescent="0.25"/>
    <row r="489" spans="1:11" ht="15.75" customHeight="1" x14ac:dyDescent="0.25"/>
    <row r="490" spans="1:11" ht="15.75" customHeight="1" x14ac:dyDescent="0.25"/>
    <row r="491" spans="1:11" ht="15.75" customHeight="1" x14ac:dyDescent="0.25"/>
    <row r="492" spans="1:11" ht="15.75" customHeight="1" x14ac:dyDescent="0.25"/>
    <row r="493" spans="1:11" ht="15.75" customHeight="1" x14ac:dyDescent="0.25"/>
    <row r="494" spans="1:11" ht="15.75" customHeight="1" x14ac:dyDescent="0.25"/>
    <row r="495" spans="1:11" ht="15.75" customHeight="1" x14ac:dyDescent="0.25"/>
    <row r="496" spans="1:11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J2:J481">
    <cfRule type="cellIs" dxfId="1" priority="1" operator="equal">
      <formula>"Solved"</formula>
    </cfRule>
    <cfRule type="cellIs" dxfId="0" priority="2" operator="equal">
      <formula>"Revised"</formula>
    </cfRule>
  </conditionalFormatting>
  <dataValidations count="4">
    <dataValidation type="list" allowBlank="1" showErrorMessage="1" sqref="B2:B481" xr:uid="{00000000-0002-0000-0300-000000000000}">
      <formula1>"In-Class,Homework"</formula1>
    </dataValidation>
    <dataValidation type="list" allowBlank="1" showErrorMessage="1" sqref="G2:G481" xr:uid="{00000000-0002-0000-0300-000001000000}">
      <formula1>"CF 800,HR Easy,HR Medium,CF 1000,CF 1100,CF 1200,CF 1300,CF 1400,HR Hard,CF 1500,CF 1600,CF 900"</formula1>
    </dataValidation>
    <dataValidation type="list" allowBlank="1" showErrorMessage="1" sqref="F2:F481" xr:uid="{00000000-0002-0000-0300-000002000000}">
      <formula1>"Codeforces,HackerRank"</formula1>
    </dataValidation>
    <dataValidation type="list" allowBlank="1" sqref="J2:J481" xr:uid="{00000000-0002-0000-0300-000003000000}">
      <formula1>"Not Started,Attempted,Solved,Revised"</formula1>
    </dataValidation>
  </dataValidations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6" r:id="rId5" xr:uid="{00000000-0004-0000-0300-000004000000}"/>
    <hyperlink ref="H7" r:id="rId6" xr:uid="{00000000-0004-0000-0300-000005000000}"/>
    <hyperlink ref="H8" r:id="rId7" xr:uid="{00000000-0004-0000-0300-000006000000}"/>
    <hyperlink ref="H9" r:id="rId8" xr:uid="{00000000-0004-0000-0300-000007000000}"/>
    <hyperlink ref="H10" r:id="rId9" xr:uid="{00000000-0004-0000-0300-000008000000}"/>
    <hyperlink ref="H11" r:id="rId10" xr:uid="{00000000-0004-0000-0300-000009000000}"/>
    <hyperlink ref="H12" r:id="rId11" xr:uid="{00000000-0004-0000-0300-00000A000000}"/>
    <hyperlink ref="H13" r:id="rId12" xr:uid="{00000000-0004-0000-0300-00000B000000}"/>
    <hyperlink ref="H14" r:id="rId13" xr:uid="{00000000-0004-0000-0300-00000C000000}"/>
    <hyperlink ref="H15" r:id="rId14" xr:uid="{00000000-0004-0000-0300-00000D000000}"/>
    <hyperlink ref="H16" r:id="rId15" xr:uid="{00000000-0004-0000-0300-00000E000000}"/>
    <hyperlink ref="H17" r:id="rId16" xr:uid="{00000000-0004-0000-0300-00000F000000}"/>
    <hyperlink ref="H18" r:id="rId17" xr:uid="{00000000-0004-0000-0300-000010000000}"/>
    <hyperlink ref="H19" r:id="rId18" xr:uid="{00000000-0004-0000-0300-000011000000}"/>
    <hyperlink ref="H20" r:id="rId19" xr:uid="{00000000-0004-0000-0300-000012000000}"/>
    <hyperlink ref="H21" r:id="rId20" xr:uid="{00000000-0004-0000-0300-000013000000}"/>
    <hyperlink ref="H22" r:id="rId21" xr:uid="{00000000-0004-0000-0300-000014000000}"/>
    <hyperlink ref="H23" r:id="rId22" xr:uid="{00000000-0004-0000-0300-000015000000}"/>
    <hyperlink ref="H24" r:id="rId23" xr:uid="{00000000-0004-0000-0300-000016000000}"/>
    <hyperlink ref="H25" r:id="rId24" xr:uid="{00000000-0004-0000-0300-000017000000}"/>
    <hyperlink ref="H26" r:id="rId25" xr:uid="{00000000-0004-0000-0300-000018000000}"/>
    <hyperlink ref="H27" r:id="rId26" xr:uid="{00000000-0004-0000-0300-000019000000}"/>
    <hyperlink ref="H28" r:id="rId27" xr:uid="{00000000-0004-0000-0300-00001A000000}"/>
    <hyperlink ref="H29" r:id="rId28" xr:uid="{00000000-0004-0000-0300-00001B000000}"/>
    <hyperlink ref="H30" r:id="rId29" xr:uid="{00000000-0004-0000-0300-00001C000000}"/>
    <hyperlink ref="H31" r:id="rId30" xr:uid="{00000000-0004-0000-0300-00001D000000}"/>
    <hyperlink ref="H32" r:id="rId31" xr:uid="{00000000-0004-0000-0300-00001E000000}"/>
    <hyperlink ref="H33" r:id="rId32" xr:uid="{00000000-0004-0000-0300-00001F000000}"/>
    <hyperlink ref="H34" r:id="rId33" xr:uid="{00000000-0004-0000-0300-000020000000}"/>
    <hyperlink ref="H35" r:id="rId34" xr:uid="{00000000-0004-0000-0300-000021000000}"/>
    <hyperlink ref="H36" r:id="rId35" xr:uid="{00000000-0004-0000-0300-000022000000}"/>
    <hyperlink ref="H37" r:id="rId36" xr:uid="{00000000-0004-0000-0300-000023000000}"/>
    <hyperlink ref="H38" r:id="rId37" xr:uid="{00000000-0004-0000-0300-000024000000}"/>
    <hyperlink ref="H39" r:id="rId38" xr:uid="{00000000-0004-0000-0300-000025000000}"/>
    <hyperlink ref="H40" r:id="rId39" xr:uid="{00000000-0004-0000-0300-000026000000}"/>
    <hyperlink ref="H41" r:id="rId40" xr:uid="{00000000-0004-0000-0300-000027000000}"/>
    <hyperlink ref="H42" r:id="rId41" xr:uid="{00000000-0004-0000-0300-000028000000}"/>
    <hyperlink ref="H43" r:id="rId42" xr:uid="{00000000-0004-0000-0300-000029000000}"/>
    <hyperlink ref="H44" r:id="rId43" xr:uid="{00000000-0004-0000-0300-00002A000000}"/>
    <hyperlink ref="H45" r:id="rId44" xr:uid="{00000000-0004-0000-0300-00002B000000}"/>
    <hyperlink ref="H46" r:id="rId45" xr:uid="{00000000-0004-0000-0300-00002C000000}"/>
    <hyperlink ref="H47" r:id="rId46" xr:uid="{00000000-0004-0000-0300-00002D000000}"/>
    <hyperlink ref="H48" r:id="rId47" xr:uid="{00000000-0004-0000-0300-00002E000000}"/>
    <hyperlink ref="H49" r:id="rId48" xr:uid="{00000000-0004-0000-0300-00002F000000}"/>
    <hyperlink ref="H50" r:id="rId49" xr:uid="{00000000-0004-0000-0300-000030000000}"/>
    <hyperlink ref="H51" r:id="rId50" xr:uid="{00000000-0004-0000-0300-000031000000}"/>
    <hyperlink ref="H52" r:id="rId51" xr:uid="{00000000-0004-0000-0300-000032000000}"/>
    <hyperlink ref="H53" r:id="rId52" xr:uid="{00000000-0004-0000-0300-000033000000}"/>
    <hyperlink ref="H54" r:id="rId53" xr:uid="{00000000-0004-0000-0300-000034000000}"/>
    <hyperlink ref="H55" r:id="rId54" xr:uid="{00000000-0004-0000-0300-000035000000}"/>
    <hyperlink ref="H56" r:id="rId55" xr:uid="{00000000-0004-0000-0300-000036000000}"/>
    <hyperlink ref="H57" r:id="rId56" xr:uid="{00000000-0004-0000-0300-000037000000}"/>
    <hyperlink ref="H58" r:id="rId57" xr:uid="{00000000-0004-0000-0300-000038000000}"/>
    <hyperlink ref="H59" r:id="rId58" xr:uid="{00000000-0004-0000-0300-000039000000}"/>
    <hyperlink ref="H60" r:id="rId59" xr:uid="{00000000-0004-0000-0300-00003A000000}"/>
    <hyperlink ref="H61" r:id="rId60" xr:uid="{00000000-0004-0000-0300-00003B000000}"/>
    <hyperlink ref="H62" r:id="rId61" xr:uid="{00000000-0004-0000-0300-00003C000000}"/>
    <hyperlink ref="H63" r:id="rId62" xr:uid="{00000000-0004-0000-0300-00003D000000}"/>
    <hyperlink ref="H64" r:id="rId63" xr:uid="{00000000-0004-0000-0300-00003E000000}"/>
    <hyperlink ref="H65" r:id="rId64" xr:uid="{00000000-0004-0000-0300-00003F000000}"/>
    <hyperlink ref="H66" r:id="rId65" xr:uid="{00000000-0004-0000-0300-000040000000}"/>
    <hyperlink ref="H67" r:id="rId66" xr:uid="{00000000-0004-0000-0300-000041000000}"/>
    <hyperlink ref="H68" r:id="rId67" xr:uid="{00000000-0004-0000-0300-000042000000}"/>
    <hyperlink ref="H69" r:id="rId68" xr:uid="{00000000-0004-0000-0300-000043000000}"/>
    <hyperlink ref="H70" r:id="rId69" xr:uid="{00000000-0004-0000-0300-000044000000}"/>
    <hyperlink ref="H71" r:id="rId70" xr:uid="{00000000-0004-0000-0300-000045000000}"/>
    <hyperlink ref="H72" r:id="rId71" xr:uid="{00000000-0004-0000-0300-000046000000}"/>
    <hyperlink ref="H73" r:id="rId72" xr:uid="{00000000-0004-0000-0300-000047000000}"/>
    <hyperlink ref="H74" r:id="rId73" xr:uid="{00000000-0004-0000-0300-000048000000}"/>
    <hyperlink ref="H75" r:id="rId74" xr:uid="{00000000-0004-0000-0300-000049000000}"/>
    <hyperlink ref="H76" r:id="rId75" xr:uid="{00000000-0004-0000-0300-00004A000000}"/>
    <hyperlink ref="H77" r:id="rId76" xr:uid="{00000000-0004-0000-0300-00004B000000}"/>
    <hyperlink ref="H78" r:id="rId77" xr:uid="{00000000-0004-0000-0300-00004C000000}"/>
    <hyperlink ref="H79" r:id="rId78" xr:uid="{00000000-0004-0000-0300-00004D000000}"/>
    <hyperlink ref="H80" r:id="rId79" xr:uid="{00000000-0004-0000-0300-00004E000000}"/>
    <hyperlink ref="H81" r:id="rId80" xr:uid="{00000000-0004-0000-0300-00004F000000}"/>
    <hyperlink ref="H82" r:id="rId81" xr:uid="{00000000-0004-0000-0300-000050000000}"/>
    <hyperlink ref="H83" r:id="rId82" xr:uid="{00000000-0004-0000-0300-000051000000}"/>
    <hyperlink ref="H84" r:id="rId83" xr:uid="{00000000-0004-0000-0300-000052000000}"/>
    <hyperlink ref="H85" r:id="rId84" xr:uid="{00000000-0004-0000-0300-000053000000}"/>
    <hyperlink ref="H86" r:id="rId85" xr:uid="{00000000-0004-0000-0300-000054000000}"/>
    <hyperlink ref="H87" r:id="rId86" xr:uid="{00000000-0004-0000-0300-000055000000}"/>
    <hyperlink ref="H88" r:id="rId87" xr:uid="{00000000-0004-0000-0300-000056000000}"/>
    <hyperlink ref="H89" r:id="rId88" xr:uid="{00000000-0004-0000-0300-000057000000}"/>
    <hyperlink ref="H90" r:id="rId89" xr:uid="{00000000-0004-0000-0300-000058000000}"/>
    <hyperlink ref="H91" r:id="rId90" xr:uid="{00000000-0004-0000-0300-000059000000}"/>
    <hyperlink ref="H92" r:id="rId91" xr:uid="{00000000-0004-0000-0300-00005A000000}"/>
    <hyperlink ref="H93" r:id="rId92" xr:uid="{00000000-0004-0000-0300-00005B000000}"/>
    <hyperlink ref="H94" r:id="rId93" xr:uid="{00000000-0004-0000-0300-00005C000000}"/>
    <hyperlink ref="H95" r:id="rId94" xr:uid="{00000000-0004-0000-0300-00005D000000}"/>
    <hyperlink ref="H96" r:id="rId95" xr:uid="{00000000-0004-0000-0300-00005E000000}"/>
    <hyperlink ref="H97" r:id="rId96" xr:uid="{00000000-0004-0000-0300-00005F000000}"/>
    <hyperlink ref="H98" r:id="rId97" xr:uid="{00000000-0004-0000-0300-000060000000}"/>
    <hyperlink ref="H99" r:id="rId98" xr:uid="{00000000-0004-0000-0300-000061000000}"/>
    <hyperlink ref="H100" r:id="rId99" xr:uid="{00000000-0004-0000-0300-000062000000}"/>
    <hyperlink ref="H101" r:id="rId100" xr:uid="{00000000-0004-0000-0300-000063000000}"/>
    <hyperlink ref="H102" r:id="rId101" xr:uid="{00000000-0004-0000-0300-000064000000}"/>
    <hyperlink ref="H103" r:id="rId102" xr:uid="{00000000-0004-0000-0300-000065000000}"/>
    <hyperlink ref="H104" r:id="rId103" xr:uid="{00000000-0004-0000-0300-000066000000}"/>
    <hyperlink ref="H105" r:id="rId104" xr:uid="{00000000-0004-0000-0300-000067000000}"/>
    <hyperlink ref="H106" r:id="rId105" xr:uid="{00000000-0004-0000-0300-000068000000}"/>
    <hyperlink ref="H107" r:id="rId106" xr:uid="{00000000-0004-0000-0300-000069000000}"/>
    <hyperlink ref="H108" r:id="rId107" xr:uid="{00000000-0004-0000-0300-00006A000000}"/>
    <hyperlink ref="H109" r:id="rId108" xr:uid="{00000000-0004-0000-0300-00006B000000}"/>
    <hyperlink ref="H110" r:id="rId109" xr:uid="{00000000-0004-0000-0300-00006C000000}"/>
    <hyperlink ref="H111" r:id="rId110" xr:uid="{00000000-0004-0000-0300-00006D000000}"/>
    <hyperlink ref="H112" r:id="rId111" xr:uid="{00000000-0004-0000-0300-00006E000000}"/>
    <hyperlink ref="H113" r:id="rId112" xr:uid="{00000000-0004-0000-0300-00006F000000}"/>
    <hyperlink ref="H114" r:id="rId113" xr:uid="{00000000-0004-0000-0300-000070000000}"/>
    <hyperlink ref="H115" r:id="rId114" xr:uid="{00000000-0004-0000-0300-000071000000}"/>
    <hyperlink ref="H116" r:id="rId115" xr:uid="{00000000-0004-0000-0300-000072000000}"/>
    <hyperlink ref="H117" r:id="rId116" xr:uid="{00000000-0004-0000-0300-000073000000}"/>
    <hyperlink ref="H118" r:id="rId117" xr:uid="{00000000-0004-0000-0300-000074000000}"/>
    <hyperlink ref="H119" r:id="rId118" xr:uid="{00000000-0004-0000-0300-000075000000}"/>
    <hyperlink ref="H120" r:id="rId119" xr:uid="{00000000-0004-0000-0300-000076000000}"/>
    <hyperlink ref="H121" r:id="rId120" xr:uid="{00000000-0004-0000-0300-000077000000}"/>
    <hyperlink ref="H122" r:id="rId121" xr:uid="{00000000-0004-0000-0300-000078000000}"/>
    <hyperlink ref="H123" r:id="rId122" xr:uid="{00000000-0004-0000-0300-000079000000}"/>
    <hyperlink ref="H124" r:id="rId123" xr:uid="{00000000-0004-0000-0300-00007A000000}"/>
    <hyperlink ref="H125" r:id="rId124" xr:uid="{00000000-0004-0000-0300-00007B000000}"/>
    <hyperlink ref="H126" r:id="rId125" xr:uid="{00000000-0004-0000-0300-00007C000000}"/>
    <hyperlink ref="H127" r:id="rId126" xr:uid="{00000000-0004-0000-0300-00007D000000}"/>
    <hyperlink ref="H128" r:id="rId127" xr:uid="{00000000-0004-0000-0300-00007E000000}"/>
    <hyperlink ref="H129" r:id="rId128" xr:uid="{00000000-0004-0000-0300-00007F000000}"/>
    <hyperlink ref="H130" r:id="rId129" xr:uid="{00000000-0004-0000-0300-000080000000}"/>
    <hyperlink ref="H131" r:id="rId130" xr:uid="{00000000-0004-0000-0300-000081000000}"/>
    <hyperlink ref="H132" r:id="rId131" xr:uid="{00000000-0004-0000-0300-000082000000}"/>
    <hyperlink ref="H133" r:id="rId132" xr:uid="{00000000-0004-0000-0300-000083000000}"/>
    <hyperlink ref="H134" r:id="rId133" xr:uid="{00000000-0004-0000-0300-000084000000}"/>
    <hyperlink ref="H135" r:id="rId134" xr:uid="{00000000-0004-0000-0300-000085000000}"/>
    <hyperlink ref="H136" r:id="rId135" xr:uid="{00000000-0004-0000-0300-000086000000}"/>
    <hyperlink ref="H137" r:id="rId136" xr:uid="{00000000-0004-0000-0300-000087000000}"/>
    <hyperlink ref="H138" r:id="rId137" xr:uid="{00000000-0004-0000-0300-000088000000}"/>
    <hyperlink ref="H139" r:id="rId138" xr:uid="{00000000-0004-0000-0300-000089000000}"/>
    <hyperlink ref="H140" r:id="rId139" xr:uid="{00000000-0004-0000-0300-00008A000000}"/>
    <hyperlink ref="H141" r:id="rId140" xr:uid="{00000000-0004-0000-0300-00008B000000}"/>
    <hyperlink ref="H142" r:id="rId141" xr:uid="{00000000-0004-0000-0300-00008C000000}"/>
    <hyperlink ref="H143" r:id="rId142" xr:uid="{00000000-0004-0000-0300-00008D000000}"/>
    <hyperlink ref="H144" r:id="rId143" xr:uid="{00000000-0004-0000-0300-00008E000000}"/>
    <hyperlink ref="H145" r:id="rId144" xr:uid="{00000000-0004-0000-0300-00008F000000}"/>
    <hyperlink ref="H146" r:id="rId145" xr:uid="{00000000-0004-0000-0300-000090000000}"/>
    <hyperlink ref="H147" r:id="rId146" xr:uid="{00000000-0004-0000-0300-000091000000}"/>
    <hyperlink ref="H148" r:id="rId147" xr:uid="{00000000-0004-0000-0300-000092000000}"/>
    <hyperlink ref="H149" r:id="rId148" xr:uid="{00000000-0004-0000-0300-000093000000}"/>
    <hyperlink ref="H150" r:id="rId149" xr:uid="{00000000-0004-0000-0300-000094000000}"/>
    <hyperlink ref="H151" r:id="rId150" xr:uid="{00000000-0004-0000-0300-000095000000}"/>
    <hyperlink ref="H152" r:id="rId151" xr:uid="{00000000-0004-0000-0300-000096000000}"/>
    <hyperlink ref="H153" r:id="rId152" xr:uid="{00000000-0004-0000-0300-000097000000}"/>
    <hyperlink ref="H154" r:id="rId153" xr:uid="{00000000-0004-0000-0300-000098000000}"/>
    <hyperlink ref="H155" r:id="rId154" xr:uid="{00000000-0004-0000-0300-000099000000}"/>
    <hyperlink ref="H156" r:id="rId155" xr:uid="{00000000-0004-0000-0300-00009A000000}"/>
    <hyperlink ref="H157" r:id="rId156" xr:uid="{00000000-0004-0000-0300-00009B000000}"/>
    <hyperlink ref="H158" r:id="rId157" xr:uid="{00000000-0004-0000-0300-00009C000000}"/>
    <hyperlink ref="H159" r:id="rId158" xr:uid="{00000000-0004-0000-0300-00009D000000}"/>
    <hyperlink ref="H160" r:id="rId159" xr:uid="{00000000-0004-0000-0300-00009E000000}"/>
    <hyperlink ref="H161" r:id="rId160" xr:uid="{00000000-0004-0000-0300-00009F000000}"/>
    <hyperlink ref="H162" r:id="rId161" xr:uid="{00000000-0004-0000-0300-0000A0000000}"/>
    <hyperlink ref="H163" r:id="rId162" xr:uid="{00000000-0004-0000-0300-0000A1000000}"/>
    <hyperlink ref="H164" r:id="rId163" xr:uid="{00000000-0004-0000-0300-0000A2000000}"/>
    <hyperlink ref="H165" r:id="rId164" xr:uid="{00000000-0004-0000-0300-0000A3000000}"/>
    <hyperlink ref="H166" r:id="rId165" xr:uid="{00000000-0004-0000-0300-0000A4000000}"/>
    <hyperlink ref="H167" r:id="rId166" xr:uid="{00000000-0004-0000-0300-0000A5000000}"/>
    <hyperlink ref="H168" r:id="rId167" xr:uid="{00000000-0004-0000-0300-0000A6000000}"/>
    <hyperlink ref="H169" r:id="rId168" xr:uid="{00000000-0004-0000-0300-0000A7000000}"/>
    <hyperlink ref="H170" r:id="rId169" xr:uid="{00000000-0004-0000-0300-0000A8000000}"/>
    <hyperlink ref="H171" r:id="rId170" xr:uid="{00000000-0004-0000-0300-0000A9000000}"/>
    <hyperlink ref="H172" r:id="rId171" xr:uid="{00000000-0004-0000-0300-0000AA000000}"/>
    <hyperlink ref="H173" r:id="rId172" xr:uid="{00000000-0004-0000-0300-0000AB000000}"/>
    <hyperlink ref="H174" r:id="rId173" xr:uid="{00000000-0004-0000-0300-0000AC000000}"/>
    <hyperlink ref="H175" r:id="rId174" xr:uid="{00000000-0004-0000-0300-0000AD000000}"/>
    <hyperlink ref="H176" r:id="rId175" xr:uid="{00000000-0004-0000-0300-0000AE000000}"/>
    <hyperlink ref="H177" r:id="rId176" xr:uid="{00000000-0004-0000-0300-0000AF000000}"/>
    <hyperlink ref="H178" r:id="rId177" xr:uid="{00000000-0004-0000-0300-0000B0000000}"/>
    <hyperlink ref="H179" r:id="rId178" xr:uid="{00000000-0004-0000-0300-0000B1000000}"/>
    <hyperlink ref="H180" r:id="rId179" xr:uid="{00000000-0004-0000-0300-0000B2000000}"/>
    <hyperlink ref="H181" r:id="rId180" xr:uid="{00000000-0004-0000-0300-0000B3000000}"/>
    <hyperlink ref="H182" r:id="rId181" xr:uid="{00000000-0004-0000-0300-0000B4000000}"/>
    <hyperlink ref="H183" r:id="rId182" xr:uid="{00000000-0004-0000-0300-0000B5000000}"/>
    <hyperlink ref="H184" r:id="rId183" xr:uid="{00000000-0004-0000-0300-0000B6000000}"/>
    <hyperlink ref="H185" r:id="rId184" xr:uid="{00000000-0004-0000-0300-0000B7000000}"/>
    <hyperlink ref="H186" r:id="rId185" xr:uid="{00000000-0004-0000-0300-0000B8000000}"/>
    <hyperlink ref="H187" r:id="rId186" xr:uid="{00000000-0004-0000-0300-0000B9000000}"/>
    <hyperlink ref="H188" r:id="rId187" xr:uid="{00000000-0004-0000-0300-0000BA000000}"/>
    <hyperlink ref="H189" r:id="rId188" xr:uid="{00000000-0004-0000-0300-0000BB000000}"/>
    <hyperlink ref="H190" r:id="rId189" xr:uid="{00000000-0004-0000-0300-0000BC000000}"/>
    <hyperlink ref="H191" r:id="rId190" xr:uid="{00000000-0004-0000-0300-0000BD000000}"/>
    <hyperlink ref="H192" r:id="rId191" xr:uid="{00000000-0004-0000-0300-0000BE000000}"/>
    <hyperlink ref="H193" r:id="rId192" xr:uid="{00000000-0004-0000-0300-0000BF000000}"/>
    <hyperlink ref="H194" r:id="rId193" xr:uid="{00000000-0004-0000-0300-0000C0000000}"/>
    <hyperlink ref="H195" r:id="rId194" xr:uid="{00000000-0004-0000-0300-0000C1000000}"/>
    <hyperlink ref="H196" r:id="rId195" xr:uid="{00000000-0004-0000-0300-0000C2000000}"/>
    <hyperlink ref="H197" r:id="rId196" xr:uid="{00000000-0004-0000-0300-0000C3000000}"/>
    <hyperlink ref="H198" r:id="rId197" xr:uid="{00000000-0004-0000-0300-0000C4000000}"/>
    <hyperlink ref="H199" r:id="rId198" xr:uid="{00000000-0004-0000-0300-0000C5000000}"/>
    <hyperlink ref="H200" r:id="rId199" xr:uid="{00000000-0004-0000-0300-0000C6000000}"/>
    <hyperlink ref="H201" r:id="rId200" xr:uid="{00000000-0004-0000-0300-0000C7000000}"/>
    <hyperlink ref="H202" r:id="rId201" xr:uid="{00000000-0004-0000-0300-0000C8000000}"/>
    <hyperlink ref="H203" r:id="rId202" xr:uid="{00000000-0004-0000-0300-0000C9000000}"/>
    <hyperlink ref="H204" r:id="rId203" xr:uid="{00000000-0004-0000-0300-0000CA000000}"/>
    <hyperlink ref="H205" r:id="rId204" xr:uid="{00000000-0004-0000-0300-0000CB000000}"/>
    <hyperlink ref="H206" r:id="rId205" xr:uid="{00000000-0004-0000-0300-0000CC000000}"/>
    <hyperlink ref="H207" r:id="rId206" xr:uid="{00000000-0004-0000-0300-0000CD000000}"/>
    <hyperlink ref="H208" r:id="rId207" xr:uid="{00000000-0004-0000-0300-0000CE000000}"/>
    <hyperlink ref="H209" r:id="rId208" xr:uid="{00000000-0004-0000-0300-0000CF000000}"/>
    <hyperlink ref="H210" r:id="rId209" xr:uid="{00000000-0004-0000-0300-0000D0000000}"/>
    <hyperlink ref="H211" r:id="rId210" xr:uid="{00000000-0004-0000-0300-0000D1000000}"/>
    <hyperlink ref="H212" r:id="rId211" xr:uid="{00000000-0004-0000-0300-0000D2000000}"/>
    <hyperlink ref="H213" r:id="rId212" xr:uid="{00000000-0004-0000-0300-0000D3000000}"/>
    <hyperlink ref="H214" r:id="rId213" xr:uid="{00000000-0004-0000-0300-0000D4000000}"/>
    <hyperlink ref="H215" r:id="rId214" xr:uid="{00000000-0004-0000-0300-0000D5000000}"/>
    <hyperlink ref="H216" r:id="rId215" xr:uid="{00000000-0004-0000-0300-0000D6000000}"/>
    <hyperlink ref="H217" r:id="rId216" xr:uid="{00000000-0004-0000-0300-0000D7000000}"/>
    <hyperlink ref="H218" r:id="rId217" xr:uid="{00000000-0004-0000-0300-0000D8000000}"/>
    <hyperlink ref="H219" r:id="rId218" xr:uid="{00000000-0004-0000-0300-0000D9000000}"/>
    <hyperlink ref="H220" r:id="rId219" xr:uid="{00000000-0004-0000-0300-0000DA000000}"/>
    <hyperlink ref="H221" r:id="rId220" xr:uid="{00000000-0004-0000-0300-0000DB000000}"/>
    <hyperlink ref="H222" r:id="rId221" xr:uid="{00000000-0004-0000-0300-0000DC000000}"/>
    <hyperlink ref="H223" r:id="rId222" xr:uid="{00000000-0004-0000-0300-0000DD000000}"/>
    <hyperlink ref="H224" r:id="rId223" xr:uid="{00000000-0004-0000-0300-0000DE000000}"/>
    <hyperlink ref="H225" r:id="rId224" xr:uid="{00000000-0004-0000-0300-0000DF000000}"/>
    <hyperlink ref="H226" r:id="rId225" xr:uid="{00000000-0004-0000-0300-0000E0000000}"/>
    <hyperlink ref="H227" r:id="rId226" xr:uid="{00000000-0004-0000-0300-0000E1000000}"/>
    <hyperlink ref="H228" r:id="rId227" xr:uid="{00000000-0004-0000-0300-0000E2000000}"/>
    <hyperlink ref="H229" r:id="rId228" xr:uid="{00000000-0004-0000-0300-0000E3000000}"/>
    <hyperlink ref="H230" r:id="rId229" xr:uid="{00000000-0004-0000-0300-0000E4000000}"/>
    <hyperlink ref="H231" r:id="rId230" xr:uid="{00000000-0004-0000-0300-0000E5000000}"/>
    <hyperlink ref="H232" r:id="rId231" xr:uid="{00000000-0004-0000-0300-0000E6000000}"/>
    <hyperlink ref="H233" r:id="rId232" xr:uid="{00000000-0004-0000-0300-0000E7000000}"/>
    <hyperlink ref="H234" r:id="rId233" xr:uid="{00000000-0004-0000-0300-0000E8000000}"/>
    <hyperlink ref="H235" r:id="rId234" xr:uid="{00000000-0004-0000-0300-0000E9000000}"/>
    <hyperlink ref="H236" r:id="rId235" xr:uid="{00000000-0004-0000-0300-0000EA000000}"/>
    <hyperlink ref="H237" r:id="rId236" xr:uid="{00000000-0004-0000-0300-0000EB000000}"/>
    <hyperlink ref="H238" r:id="rId237" xr:uid="{00000000-0004-0000-0300-0000EC000000}"/>
    <hyperlink ref="H239" r:id="rId238" xr:uid="{00000000-0004-0000-0300-0000ED000000}"/>
    <hyperlink ref="H240" r:id="rId239" xr:uid="{00000000-0004-0000-0300-0000EE000000}"/>
    <hyperlink ref="H241" r:id="rId240" xr:uid="{00000000-0004-0000-0300-0000EF000000}"/>
    <hyperlink ref="H242" r:id="rId241" xr:uid="{00000000-0004-0000-0300-0000F0000000}"/>
    <hyperlink ref="H243" r:id="rId242" xr:uid="{00000000-0004-0000-0300-0000F1000000}"/>
    <hyperlink ref="H244" r:id="rId243" xr:uid="{00000000-0004-0000-0300-0000F2000000}"/>
    <hyperlink ref="H245" r:id="rId244" xr:uid="{00000000-0004-0000-0300-0000F3000000}"/>
    <hyperlink ref="H246" r:id="rId245" xr:uid="{00000000-0004-0000-0300-0000F4000000}"/>
    <hyperlink ref="H247" r:id="rId246" xr:uid="{00000000-0004-0000-0300-0000F5000000}"/>
    <hyperlink ref="H248" r:id="rId247" xr:uid="{00000000-0004-0000-0300-0000F6000000}"/>
    <hyperlink ref="H249" r:id="rId248" xr:uid="{00000000-0004-0000-0300-0000F7000000}"/>
    <hyperlink ref="H250" r:id="rId249" xr:uid="{00000000-0004-0000-0300-0000F8000000}"/>
    <hyperlink ref="H251" r:id="rId250" xr:uid="{00000000-0004-0000-0300-0000F9000000}"/>
    <hyperlink ref="H252" r:id="rId251" xr:uid="{00000000-0004-0000-0300-0000FA000000}"/>
    <hyperlink ref="H253" r:id="rId252" xr:uid="{00000000-0004-0000-0300-0000FB000000}"/>
    <hyperlink ref="H254" r:id="rId253" xr:uid="{00000000-0004-0000-0300-0000FC000000}"/>
    <hyperlink ref="H255" r:id="rId254" xr:uid="{00000000-0004-0000-0300-0000FD000000}"/>
    <hyperlink ref="H256" r:id="rId255" xr:uid="{00000000-0004-0000-0300-0000FE000000}"/>
    <hyperlink ref="H257" r:id="rId256" xr:uid="{00000000-0004-0000-0300-0000FF000000}"/>
    <hyperlink ref="H258" r:id="rId257" xr:uid="{00000000-0004-0000-0300-000000010000}"/>
    <hyperlink ref="H259" r:id="rId258" xr:uid="{00000000-0004-0000-0300-000001010000}"/>
    <hyperlink ref="H260" r:id="rId259" xr:uid="{00000000-0004-0000-0300-000002010000}"/>
    <hyperlink ref="H261" r:id="rId260" xr:uid="{00000000-0004-0000-0300-000003010000}"/>
    <hyperlink ref="H262" r:id="rId261" xr:uid="{00000000-0004-0000-0300-000004010000}"/>
    <hyperlink ref="H263" r:id="rId262" xr:uid="{00000000-0004-0000-0300-000005010000}"/>
    <hyperlink ref="H264" r:id="rId263" xr:uid="{00000000-0004-0000-0300-000006010000}"/>
    <hyperlink ref="H265" r:id="rId264" xr:uid="{00000000-0004-0000-0300-000007010000}"/>
    <hyperlink ref="H266" r:id="rId265" xr:uid="{00000000-0004-0000-0300-000008010000}"/>
    <hyperlink ref="H267" r:id="rId266" xr:uid="{00000000-0004-0000-0300-000009010000}"/>
    <hyperlink ref="H268" r:id="rId267" xr:uid="{00000000-0004-0000-0300-00000A010000}"/>
    <hyperlink ref="H269" r:id="rId268" xr:uid="{00000000-0004-0000-0300-00000B010000}"/>
    <hyperlink ref="H270" r:id="rId269" xr:uid="{00000000-0004-0000-0300-00000C010000}"/>
    <hyperlink ref="H271" r:id="rId270" xr:uid="{00000000-0004-0000-0300-00000D010000}"/>
    <hyperlink ref="H272" r:id="rId271" xr:uid="{00000000-0004-0000-0300-00000E010000}"/>
    <hyperlink ref="H273" r:id="rId272" xr:uid="{00000000-0004-0000-0300-00000F010000}"/>
    <hyperlink ref="H274" r:id="rId273" xr:uid="{00000000-0004-0000-0300-000010010000}"/>
    <hyperlink ref="H275" r:id="rId274" xr:uid="{00000000-0004-0000-0300-000011010000}"/>
    <hyperlink ref="H276" r:id="rId275" xr:uid="{00000000-0004-0000-0300-000012010000}"/>
    <hyperlink ref="H277" r:id="rId276" xr:uid="{00000000-0004-0000-0300-000013010000}"/>
    <hyperlink ref="H278" r:id="rId277" xr:uid="{00000000-0004-0000-0300-000014010000}"/>
    <hyperlink ref="H279" r:id="rId278" xr:uid="{00000000-0004-0000-0300-000015010000}"/>
    <hyperlink ref="H280" r:id="rId279" xr:uid="{00000000-0004-0000-0300-000016010000}"/>
    <hyperlink ref="H281" r:id="rId280" xr:uid="{00000000-0004-0000-0300-000017010000}"/>
    <hyperlink ref="H282" r:id="rId281" xr:uid="{00000000-0004-0000-0300-000018010000}"/>
    <hyperlink ref="H283" r:id="rId282" xr:uid="{00000000-0004-0000-0300-000019010000}"/>
    <hyperlink ref="H284" r:id="rId283" xr:uid="{00000000-0004-0000-0300-00001A010000}"/>
    <hyperlink ref="H285" r:id="rId284" xr:uid="{00000000-0004-0000-0300-00001B010000}"/>
    <hyperlink ref="H286" r:id="rId285" xr:uid="{00000000-0004-0000-0300-00001C010000}"/>
    <hyperlink ref="H287" r:id="rId286" xr:uid="{00000000-0004-0000-0300-00001D010000}"/>
    <hyperlink ref="H288" r:id="rId287" xr:uid="{00000000-0004-0000-0300-00001E010000}"/>
    <hyperlink ref="H289" r:id="rId288" xr:uid="{00000000-0004-0000-0300-00001F010000}"/>
    <hyperlink ref="H290" r:id="rId289" xr:uid="{00000000-0004-0000-0300-000020010000}"/>
    <hyperlink ref="H291" r:id="rId290" xr:uid="{00000000-0004-0000-0300-000021010000}"/>
    <hyperlink ref="H292" r:id="rId291" xr:uid="{00000000-0004-0000-0300-000022010000}"/>
    <hyperlink ref="H293" r:id="rId292" xr:uid="{00000000-0004-0000-0300-000023010000}"/>
    <hyperlink ref="H294" r:id="rId293" xr:uid="{00000000-0004-0000-0300-000024010000}"/>
    <hyperlink ref="H295" r:id="rId294" xr:uid="{00000000-0004-0000-0300-000025010000}"/>
    <hyperlink ref="H296" r:id="rId295" xr:uid="{00000000-0004-0000-0300-000026010000}"/>
    <hyperlink ref="H297" r:id="rId296" xr:uid="{00000000-0004-0000-0300-000027010000}"/>
    <hyperlink ref="H298" r:id="rId297" xr:uid="{00000000-0004-0000-0300-000028010000}"/>
    <hyperlink ref="H299" r:id="rId298" xr:uid="{00000000-0004-0000-0300-000029010000}"/>
    <hyperlink ref="H300" r:id="rId299" xr:uid="{00000000-0004-0000-0300-00002A010000}"/>
    <hyperlink ref="H301" r:id="rId300" xr:uid="{00000000-0004-0000-0300-00002B010000}"/>
    <hyperlink ref="H302" r:id="rId301" xr:uid="{00000000-0004-0000-0300-00002C010000}"/>
    <hyperlink ref="H303" r:id="rId302" xr:uid="{00000000-0004-0000-0300-00002D010000}"/>
    <hyperlink ref="H304" r:id="rId303" xr:uid="{00000000-0004-0000-0300-00002E010000}"/>
    <hyperlink ref="H305" r:id="rId304" xr:uid="{00000000-0004-0000-0300-00002F010000}"/>
    <hyperlink ref="H306" r:id="rId305" xr:uid="{00000000-0004-0000-0300-000030010000}"/>
    <hyperlink ref="H307" r:id="rId306" xr:uid="{00000000-0004-0000-0300-000031010000}"/>
    <hyperlink ref="H308" r:id="rId307" xr:uid="{00000000-0004-0000-0300-000032010000}"/>
    <hyperlink ref="H309" r:id="rId308" xr:uid="{00000000-0004-0000-0300-000033010000}"/>
    <hyperlink ref="H310" r:id="rId309" xr:uid="{00000000-0004-0000-0300-000034010000}"/>
    <hyperlink ref="H311" r:id="rId310" xr:uid="{00000000-0004-0000-0300-000035010000}"/>
    <hyperlink ref="H312" r:id="rId311" xr:uid="{00000000-0004-0000-0300-000036010000}"/>
    <hyperlink ref="H313" r:id="rId312" xr:uid="{00000000-0004-0000-0300-000037010000}"/>
    <hyperlink ref="H314" r:id="rId313" xr:uid="{00000000-0004-0000-0300-000038010000}"/>
    <hyperlink ref="H315" r:id="rId314" xr:uid="{00000000-0004-0000-0300-000039010000}"/>
    <hyperlink ref="H316" r:id="rId315" xr:uid="{00000000-0004-0000-0300-00003A010000}"/>
    <hyperlink ref="H317" r:id="rId316" xr:uid="{00000000-0004-0000-0300-00003B010000}"/>
    <hyperlink ref="H318" r:id="rId317" xr:uid="{00000000-0004-0000-0300-00003C010000}"/>
    <hyperlink ref="H319" r:id="rId318" xr:uid="{00000000-0004-0000-0300-00003D010000}"/>
    <hyperlink ref="H320" r:id="rId319" xr:uid="{00000000-0004-0000-0300-00003E010000}"/>
    <hyperlink ref="H321" r:id="rId320" xr:uid="{00000000-0004-0000-0300-00003F010000}"/>
    <hyperlink ref="H322" r:id="rId321" xr:uid="{00000000-0004-0000-0300-000040010000}"/>
    <hyperlink ref="H323" r:id="rId322" xr:uid="{00000000-0004-0000-0300-000041010000}"/>
    <hyperlink ref="H324" r:id="rId323" xr:uid="{00000000-0004-0000-0300-000042010000}"/>
    <hyperlink ref="H325" r:id="rId324" xr:uid="{00000000-0004-0000-0300-000043010000}"/>
    <hyperlink ref="H326" r:id="rId325" xr:uid="{00000000-0004-0000-0300-000044010000}"/>
    <hyperlink ref="H327" r:id="rId326" xr:uid="{00000000-0004-0000-0300-000045010000}"/>
    <hyperlink ref="H328" r:id="rId327" xr:uid="{00000000-0004-0000-0300-000046010000}"/>
    <hyperlink ref="H329" r:id="rId328" xr:uid="{00000000-0004-0000-0300-000047010000}"/>
    <hyperlink ref="H330" r:id="rId329" xr:uid="{00000000-0004-0000-0300-000048010000}"/>
    <hyperlink ref="H331" r:id="rId330" xr:uid="{00000000-0004-0000-0300-000049010000}"/>
    <hyperlink ref="H332" r:id="rId331" xr:uid="{00000000-0004-0000-0300-00004A010000}"/>
    <hyperlink ref="H333" r:id="rId332" xr:uid="{00000000-0004-0000-0300-00004B010000}"/>
    <hyperlink ref="H334" r:id="rId333" xr:uid="{00000000-0004-0000-0300-00004C010000}"/>
    <hyperlink ref="H335" r:id="rId334" xr:uid="{00000000-0004-0000-0300-00004D010000}"/>
    <hyperlink ref="H336" r:id="rId335" xr:uid="{00000000-0004-0000-0300-00004E010000}"/>
    <hyperlink ref="H337" r:id="rId336" xr:uid="{00000000-0004-0000-0300-00004F010000}"/>
    <hyperlink ref="H338" r:id="rId337" xr:uid="{00000000-0004-0000-0300-000050010000}"/>
    <hyperlink ref="H339" r:id="rId338" xr:uid="{00000000-0004-0000-0300-000051010000}"/>
    <hyperlink ref="H340" r:id="rId339" xr:uid="{00000000-0004-0000-0300-000052010000}"/>
    <hyperlink ref="H341" r:id="rId340" xr:uid="{00000000-0004-0000-0300-000053010000}"/>
    <hyperlink ref="H342" r:id="rId341" xr:uid="{00000000-0004-0000-0300-000054010000}"/>
    <hyperlink ref="H343" r:id="rId342" xr:uid="{00000000-0004-0000-0300-000055010000}"/>
    <hyperlink ref="H344" r:id="rId343" xr:uid="{00000000-0004-0000-0300-000056010000}"/>
    <hyperlink ref="H345" r:id="rId344" xr:uid="{00000000-0004-0000-0300-000057010000}"/>
    <hyperlink ref="H346" r:id="rId345" xr:uid="{00000000-0004-0000-0300-000058010000}"/>
    <hyperlink ref="H347" r:id="rId346" xr:uid="{00000000-0004-0000-0300-000059010000}"/>
    <hyperlink ref="H348" r:id="rId347" xr:uid="{00000000-0004-0000-0300-00005A010000}"/>
    <hyperlink ref="H349" r:id="rId348" xr:uid="{00000000-0004-0000-0300-00005B010000}"/>
    <hyperlink ref="H350" r:id="rId349" xr:uid="{00000000-0004-0000-0300-00005C010000}"/>
    <hyperlink ref="H351" r:id="rId350" xr:uid="{00000000-0004-0000-0300-00005D010000}"/>
    <hyperlink ref="H352" r:id="rId351" xr:uid="{00000000-0004-0000-0300-00005E010000}"/>
    <hyperlink ref="H353" r:id="rId352" xr:uid="{00000000-0004-0000-0300-00005F010000}"/>
    <hyperlink ref="H354" r:id="rId353" xr:uid="{00000000-0004-0000-0300-000060010000}"/>
    <hyperlink ref="H355" r:id="rId354" xr:uid="{00000000-0004-0000-0300-000061010000}"/>
    <hyperlink ref="H356" r:id="rId355" xr:uid="{00000000-0004-0000-0300-000062010000}"/>
    <hyperlink ref="H357" r:id="rId356" xr:uid="{00000000-0004-0000-0300-000063010000}"/>
    <hyperlink ref="H358" r:id="rId357" xr:uid="{00000000-0004-0000-0300-000064010000}"/>
    <hyperlink ref="H359" r:id="rId358" xr:uid="{00000000-0004-0000-0300-000065010000}"/>
    <hyperlink ref="H360" r:id="rId359" xr:uid="{00000000-0004-0000-0300-000066010000}"/>
    <hyperlink ref="H361" r:id="rId360" xr:uid="{00000000-0004-0000-0300-000067010000}"/>
    <hyperlink ref="H362" r:id="rId361" xr:uid="{00000000-0004-0000-0300-000068010000}"/>
    <hyperlink ref="H363" r:id="rId362" xr:uid="{00000000-0004-0000-0300-000069010000}"/>
    <hyperlink ref="H364" r:id="rId363" xr:uid="{00000000-0004-0000-0300-00006A010000}"/>
    <hyperlink ref="H365" r:id="rId364" xr:uid="{00000000-0004-0000-0300-00006B010000}"/>
    <hyperlink ref="H366" r:id="rId365" xr:uid="{00000000-0004-0000-0300-00006C010000}"/>
    <hyperlink ref="H367" r:id="rId366" xr:uid="{00000000-0004-0000-0300-00006D010000}"/>
    <hyperlink ref="H368" r:id="rId367" xr:uid="{00000000-0004-0000-0300-00006E010000}"/>
    <hyperlink ref="H369" r:id="rId368" xr:uid="{00000000-0004-0000-0300-00006F010000}"/>
    <hyperlink ref="H370" r:id="rId369" xr:uid="{00000000-0004-0000-0300-000070010000}"/>
    <hyperlink ref="H371" r:id="rId370" xr:uid="{00000000-0004-0000-0300-000071010000}"/>
    <hyperlink ref="H372" r:id="rId371" xr:uid="{00000000-0004-0000-0300-000072010000}"/>
    <hyperlink ref="H373" r:id="rId372" xr:uid="{00000000-0004-0000-0300-000073010000}"/>
    <hyperlink ref="H374" r:id="rId373" xr:uid="{00000000-0004-0000-0300-000074010000}"/>
    <hyperlink ref="H375" r:id="rId374" xr:uid="{00000000-0004-0000-0300-000075010000}"/>
    <hyperlink ref="H376" r:id="rId375" xr:uid="{00000000-0004-0000-0300-000076010000}"/>
    <hyperlink ref="H377" r:id="rId376" xr:uid="{00000000-0004-0000-0300-000077010000}"/>
    <hyperlink ref="H378" r:id="rId377" xr:uid="{00000000-0004-0000-0300-000078010000}"/>
    <hyperlink ref="H379" r:id="rId378" xr:uid="{00000000-0004-0000-0300-000079010000}"/>
    <hyperlink ref="H380" r:id="rId379" xr:uid="{00000000-0004-0000-0300-00007A010000}"/>
    <hyperlink ref="H381" r:id="rId380" xr:uid="{00000000-0004-0000-0300-00007B010000}"/>
    <hyperlink ref="H382" r:id="rId381" xr:uid="{00000000-0004-0000-0300-00007C010000}"/>
    <hyperlink ref="H383" r:id="rId382" xr:uid="{00000000-0004-0000-0300-00007D010000}"/>
    <hyperlink ref="H384" r:id="rId383" xr:uid="{00000000-0004-0000-0300-00007E010000}"/>
    <hyperlink ref="H385" r:id="rId384" xr:uid="{00000000-0004-0000-0300-00007F010000}"/>
    <hyperlink ref="H386" r:id="rId385" xr:uid="{00000000-0004-0000-0300-000080010000}"/>
    <hyperlink ref="H387" r:id="rId386" xr:uid="{00000000-0004-0000-0300-000081010000}"/>
    <hyperlink ref="H388" r:id="rId387" xr:uid="{00000000-0004-0000-0300-000082010000}"/>
    <hyperlink ref="H389" r:id="rId388" xr:uid="{00000000-0004-0000-0300-000083010000}"/>
    <hyperlink ref="H390" r:id="rId389" xr:uid="{00000000-0004-0000-0300-000084010000}"/>
    <hyperlink ref="H391" r:id="rId390" xr:uid="{00000000-0004-0000-0300-000085010000}"/>
    <hyperlink ref="H392" r:id="rId391" xr:uid="{00000000-0004-0000-0300-000086010000}"/>
    <hyperlink ref="H393" r:id="rId392" xr:uid="{00000000-0004-0000-0300-000087010000}"/>
    <hyperlink ref="H394" r:id="rId393" xr:uid="{00000000-0004-0000-0300-000088010000}"/>
    <hyperlink ref="H395" r:id="rId394" xr:uid="{00000000-0004-0000-0300-000089010000}"/>
    <hyperlink ref="H396" r:id="rId395" xr:uid="{00000000-0004-0000-0300-00008A010000}"/>
    <hyperlink ref="H397" r:id="rId396" xr:uid="{00000000-0004-0000-0300-00008B010000}"/>
    <hyperlink ref="H398" r:id="rId397" xr:uid="{00000000-0004-0000-0300-00008C010000}"/>
    <hyperlink ref="H399" r:id="rId398" xr:uid="{00000000-0004-0000-0300-00008D010000}"/>
    <hyperlink ref="H400" r:id="rId399" xr:uid="{00000000-0004-0000-0300-00008E010000}"/>
    <hyperlink ref="H401" r:id="rId400" xr:uid="{00000000-0004-0000-0300-00008F010000}"/>
    <hyperlink ref="H402" r:id="rId401" xr:uid="{00000000-0004-0000-0300-000090010000}"/>
    <hyperlink ref="H403" r:id="rId402" xr:uid="{00000000-0004-0000-0300-000091010000}"/>
    <hyperlink ref="H404" r:id="rId403" xr:uid="{00000000-0004-0000-0300-000092010000}"/>
    <hyperlink ref="H405" r:id="rId404" xr:uid="{00000000-0004-0000-0300-000093010000}"/>
    <hyperlink ref="H406" r:id="rId405" xr:uid="{00000000-0004-0000-0300-000094010000}"/>
    <hyperlink ref="H407" r:id="rId406" xr:uid="{00000000-0004-0000-0300-000095010000}"/>
    <hyperlink ref="H408" r:id="rId407" xr:uid="{00000000-0004-0000-0300-000096010000}"/>
    <hyperlink ref="H409" r:id="rId408" xr:uid="{00000000-0004-0000-0300-000097010000}"/>
    <hyperlink ref="H410" r:id="rId409" xr:uid="{00000000-0004-0000-0300-000098010000}"/>
    <hyperlink ref="H411" r:id="rId410" xr:uid="{00000000-0004-0000-0300-000099010000}"/>
    <hyperlink ref="H412" r:id="rId411" xr:uid="{00000000-0004-0000-0300-00009A010000}"/>
    <hyperlink ref="H413" r:id="rId412" xr:uid="{00000000-0004-0000-0300-00009B010000}"/>
    <hyperlink ref="H414" r:id="rId413" xr:uid="{00000000-0004-0000-0300-00009C010000}"/>
    <hyperlink ref="H415" r:id="rId414" xr:uid="{00000000-0004-0000-0300-00009D010000}"/>
    <hyperlink ref="H416" r:id="rId415" xr:uid="{00000000-0004-0000-0300-00009E010000}"/>
    <hyperlink ref="H417" r:id="rId416" xr:uid="{00000000-0004-0000-0300-00009F010000}"/>
    <hyperlink ref="H418" r:id="rId417" xr:uid="{00000000-0004-0000-0300-0000A0010000}"/>
    <hyperlink ref="H419" r:id="rId418" xr:uid="{00000000-0004-0000-0300-0000A1010000}"/>
    <hyperlink ref="H420" r:id="rId419" xr:uid="{00000000-0004-0000-0300-0000A2010000}"/>
    <hyperlink ref="H421" r:id="rId420" xr:uid="{00000000-0004-0000-0300-0000A3010000}"/>
    <hyperlink ref="H422" r:id="rId421" xr:uid="{00000000-0004-0000-0300-0000A4010000}"/>
    <hyperlink ref="H423" r:id="rId422" xr:uid="{00000000-0004-0000-0300-0000A5010000}"/>
    <hyperlink ref="H424" r:id="rId423" xr:uid="{00000000-0004-0000-0300-0000A6010000}"/>
    <hyperlink ref="H425" r:id="rId424" xr:uid="{00000000-0004-0000-0300-0000A7010000}"/>
    <hyperlink ref="H426" r:id="rId425" xr:uid="{00000000-0004-0000-0300-0000A8010000}"/>
    <hyperlink ref="H427" r:id="rId426" xr:uid="{00000000-0004-0000-0300-0000A9010000}"/>
    <hyperlink ref="H428" r:id="rId427" xr:uid="{00000000-0004-0000-0300-0000AA010000}"/>
    <hyperlink ref="H429" r:id="rId428" xr:uid="{00000000-0004-0000-0300-0000AB010000}"/>
    <hyperlink ref="H430" r:id="rId429" xr:uid="{00000000-0004-0000-0300-0000AC010000}"/>
    <hyperlink ref="H431" r:id="rId430" xr:uid="{00000000-0004-0000-0300-0000AD010000}"/>
    <hyperlink ref="H432" r:id="rId431" xr:uid="{00000000-0004-0000-0300-0000AE010000}"/>
    <hyperlink ref="H433" r:id="rId432" xr:uid="{00000000-0004-0000-0300-0000AF010000}"/>
    <hyperlink ref="H434" r:id="rId433" xr:uid="{00000000-0004-0000-0300-0000B0010000}"/>
    <hyperlink ref="H435" r:id="rId434" xr:uid="{00000000-0004-0000-0300-0000B1010000}"/>
    <hyperlink ref="H436" r:id="rId435" xr:uid="{00000000-0004-0000-0300-0000B2010000}"/>
    <hyperlink ref="H437" r:id="rId436" xr:uid="{00000000-0004-0000-0300-0000B3010000}"/>
    <hyperlink ref="H438" r:id="rId437" xr:uid="{00000000-0004-0000-0300-0000B4010000}"/>
    <hyperlink ref="H439" r:id="rId438" xr:uid="{00000000-0004-0000-0300-0000B5010000}"/>
    <hyperlink ref="H440" r:id="rId439" xr:uid="{00000000-0004-0000-0300-0000B6010000}"/>
    <hyperlink ref="H441" r:id="rId440" xr:uid="{00000000-0004-0000-0300-0000B7010000}"/>
    <hyperlink ref="H442" r:id="rId441" xr:uid="{00000000-0004-0000-0300-0000B8010000}"/>
    <hyperlink ref="H443" r:id="rId442" xr:uid="{00000000-0004-0000-0300-0000B9010000}"/>
    <hyperlink ref="H444" r:id="rId443" xr:uid="{00000000-0004-0000-0300-0000BA010000}"/>
    <hyperlink ref="H445" r:id="rId444" xr:uid="{00000000-0004-0000-0300-0000BB010000}"/>
    <hyperlink ref="H446" r:id="rId445" xr:uid="{00000000-0004-0000-0300-0000BC010000}"/>
    <hyperlink ref="H447" r:id="rId446" xr:uid="{00000000-0004-0000-0300-0000BD010000}"/>
    <hyperlink ref="H448" r:id="rId447" xr:uid="{00000000-0004-0000-0300-0000BE010000}"/>
    <hyperlink ref="H449" r:id="rId448" xr:uid="{00000000-0004-0000-0300-0000BF010000}"/>
    <hyperlink ref="H450" r:id="rId449" xr:uid="{00000000-0004-0000-0300-0000C0010000}"/>
    <hyperlink ref="H451" r:id="rId450" xr:uid="{00000000-0004-0000-0300-0000C1010000}"/>
    <hyperlink ref="H452" r:id="rId451" xr:uid="{00000000-0004-0000-0300-0000C2010000}"/>
    <hyperlink ref="H453" r:id="rId452" xr:uid="{00000000-0004-0000-0300-0000C3010000}"/>
    <hyperlink ref="H454" r:id="rId453" xr:uid="{00000000-0004-0000-0300-0000C4010000}"/>
    <hyperlink ref="H455" r:id="rId454" xr:uid="{00000000-0004-0000-0300-0000C5010000}"/>
    <hyperlink ref="H456" r:id="rId455" xr:uid="{00000000-0004-0000-0300-0000C6010000}"/>
    <hyperlink ref="H457" r:id="rId456" xr:uid="{00000000-0004-0000-0300-0000C7010000}"/>
    <hyperlink ref="H458" r:id="rId457" xr:uid="{00000000-0004-0000-0300-0000C8010000}"/>
    <hyperlink ref="H459" r:id="rId458" xr:uid="{00000000-0004-0000-0300-0000C9010000}"/>
    <hyperlink ref="H460" r:id="rId459" xr:uid="{00000000-0004-0000-0300-0000CA010000}"/>
    <hyperlink ref="H461" r:id="rId460" xr:uid="{00000000-0004-0000-0300-0000CB010000}"/>
    <hyperlink ref="H462" r:id="rId461" xr:uid="{00000000-0004-0000-0300-0000CC010000}"/>
    <hyperlink ref="H463" r:id="rId462" xr:uid="{00000000-0004-0000-0300-0000CD010000}"/>
    <hyperlink ref="H464" r:id="rId463" xr:uid="{00000000-0004-0000-0300-0000CE010000}"/>
    <hyperlink ref="H465" r:id="rId464" xr:uid="{00000000-0004-0000-0300-0000CF010000}"/>
    <hyperlink ref="H466" r:id="rId465" xr:uid="{00000000-0004-0000-0300-0000D0010000}"/>
    <hyperlink ref="H467" r:id="rId466" xr:uid="{00000000-0004-0000-0300-0000D1010000}"/>
    <hyperlink ref="H468" r:id="rId467" xr:uid="{00000000-0004-0000-0300-0000D2010000}"/>
    <hyperlink ref="H469" r:id="rId468" xr:uid="{00000000-0004-0000-0300-0000D3010000}"/>
    <hyperlink ref="H470" r:id="rId469" xr:uid="{00000000-0004-0000-0300-0000D4010000}"/>
    <hyperlink ref="H471" r:id="rId470" xr:uid="{00000000-0004-0000-0300-0000D5010000}"/>
    <hyperlink ref="H472" r:id="rId471" xr:uid="{00000000-0004-0000-0300-0000D6010000}"/>
    <hyperlink ref="H473" r:id="rId472" xr:uid="{00000000-0004-0000-0300-0000D7010000}"/>
    <hyperlink ref="H474" r:id="rId473" xr:uid="{00000000-0004-0000-0300-0000D8010000}"/>
    <hyperlink ref="H475" r:id="rId474" xr:uid="{00000000-0004-0000-0300-0000D9010000}"/>
    <hyperlink ref="H476" r:id="rId475" xr:uid="{00000000-0004-0000-0300-0000DA010000}"/>
    <hyperlink ref="H477" r:id="rId476" xr:uid="{00000000-0004-0000-0300-0000DB010000}"/>
    <hyperlink ref="H478" r:id="rId477" xr:uid="{00000000-0004-0000-0300-0000DC010000}"/>
    <hyperlink ref="H479" r:id="rId478" xr:uid="{00000000-0004-0000-0300-0000DD010000}"/>
    <hyperlink ref="H480" r:id="rId479" xr:uid="{00000000-0004-0000-0300-0000DE010000}"/>
    <hyperlink ref="H481" r:id="rId480" xr:uid="{00000000-0004-0000-0300-0000DF010000}"/>
  </hyperlink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Class Plan</vt:lpstr>
      <vt:lpstr>Pattern Guide</vt:lpstr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Archit Jain</cp:lastModifiedBy>
  <dcterms:modified xsi:type="dcterms:W3CDTF">2026-08-15T19:59:12Z</dcterms:modified>
</cp:coreProperties>
</file>